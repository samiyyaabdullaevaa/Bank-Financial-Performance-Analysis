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0A5136-BC22-42F3-8486-FBC054B3AED7}" xr6:coauthVersionLast="47" xr6:coauthVersionMax="47" xr10:uidLastSave="{00000000-0000-0000-0000-000000000000}"/>
  <bookViews>
    <workbookView xWindow="-108" yWindow="-108" windowWidth="23256" windowHeight="12456" activeTab="2" xr2:uid="{0BBFAEEC-54C2-4B0F-9F3A-170DDA0A53B9}"/>
  </bookViews>
  <sheets>
    <sheet name="Raw Data" sheetId="1" r:id="rId1"/>
    <sheet name="Ratio " sheetId="5" r:id="rId2"/>
    <sheet name="Dashboar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5" l="1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D31" i="5"/>
  <c r="D30" i="5"/>
  <c r="D29" i="5"/>
  <c r="D28" i="5"/>
  <c r="D27" i="5"/>
  <c r="D26" i="5"/>
  <c r="D25" i="5"/>
  <c r="D24" i="5"/>
  <c r="D23" i="5"/>
  <c r="D21" i="5"/>
  <c r="D20" i="5"/>
  <c r="D19" i="5"/>
  <c r="D17" i="5"/>
  <c r="D16" i="5"/>
  <c r="D15" i="5"/>
  <c r="D14" i="5"/>
  <c r="D13" i="5"/>
  <c r="D12" i="5"/>
  <c r="D11" i="5"/>
  <c r="D10" i="5"/>
  <c r="D9" i="5"/>
  <c r="D8" i="5"/>
  <c r="D7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G6" i="5"/>
  <c r="F6" i="5"/>
  <c r="E6" i="5"/>
  <c r="D6" i="5"/>
  <c r="C6" i="5"/>
  <c r="B6" i="5"/>
  <c r="G5" i="5"/>
  <c r="E5" i="5"/>
  <c r="F5" i="5"/>
  <c r="D5" i="5"/>
  <c r="C5" i="5"/>
  <c r="G4" i="5"/>
  <c r="F4" i="5"/>
  <c r="E4" i="5"/>
  <c r="D4" i="5"/>
  <c r="C4" i="5"/>
  <c r="G3" i="5"/>
  <c r="F3" i="5"/>
  <c r="E3" i="5"/>
  <c r="D3" i="5"/>
  <c r="C3" i="5"/>
  <c r="G2" i="5"/>
  <c r="E2" i="5"/>
  <c r="F2" i="5"/>
  <c r="D2" i="5"/>
  <c r="C2" i="5"/>
  <c r="B5" i="5"/>
  <c r="B4" i="5"/>
  <c r="B3" i="5"/>
  <c r="B2" i="5"/>
  <c r="K151" i="1"/>
  <c r="J151" i="1"/>
  <c r="J148" i="1"/>
  <c r="J149" i="1"/>
  <c r="J150" i="1"/>
  <c r="K148" i="1"/>
  <c r="K149" i="1"/>
  <c r="K150" i="1"/>
  <c r="K147" i="1"/>
  <c r="J147" i="1"/>
  <c r="N151" i="1"/>
  <c r="N150" i="1"/>
  <c r="N149" i="1"/>
  <c r="N148" i="1"/>
  <c r="N147" i="1"/>
  <c r="J146" i="1"/>
  <c r="K146" i="1"/>
  <c r="K143" i="1"/>
  <c r="K144" i="1"/>
  <c r="K145" i="1"/>
  <c r="J143" i="1"/>
  <c r="J144" i="1"/>
  <c r="J145" i="1"/>
  <c r="K142" i="1"/>
  <c r="J142" i="1"/>
  <c r="N146" i="1"/>
  <c r="N145" i="1"/>
  <c r="N144" i="1"/>
  <c r="N143" i="1"/>
  <c r="N142" i="1"/>
  <c r="K141" i="1"/>
  <c r="J141" i="1"/>
  <c r="K138" i="1"/>
  <c r="K139" i="1"/>
  <c r="K140" i="1"/>
  <c r="J138" i="1"/>
  <c r="J139" i="1"/>
  <c r="J140" i="1"/>
  <c r="J137" i="1"/>
  <c r="K137" i="1"/>
  <c r="N141" i="1"/>
  <c r="N140" i="1"/>
  <c r="N139" i="1"/>
  <c r="N138" i="1"/>
  <c r="N137" i="1"/>
  <c r="K136" i="1"/>
  <c r="J136" i="1"/>
  <c r="K133" i="1"/>
  <c r="K134" i="1"/>
  <c r="K135" i="1"/>
  <c r="J133" i="1"/>
  <c r="J134" i="1"/>
  <c r="J135" i="1"/>
  <c r="K132" i="1"/>
  <c r="J132" i="1"/>
  <c r="N136" i="1"/>
  <c r="N135" i="1"/>
  <c r="N134" i="1"/>
  <c r="N133" i="1"/>
  <c r="N132" i="1"/>
  <c r="K131" i="1"/>
  <c r="J131" i="1"/>
  <c r="K128" i="1"/>
  <c r="K129" i="1"/>
  <c r="K130" i="1"/>
  <c r="J128" i="1"/>
  <c r="J129" i="1"/>
  <c r="J130" i="1"/>
  <c r="K127" i="1"/>
  <c r="J127" i="1"/>
  <c r="N131" i="1"/>
  <c r="N130" i="1"/>
  <c r="N129" i="1"/>
  <c r="N128" i="1"/>
  <c r="N127" i="1"/>
  <c r="K126" i="1"/>
  <c r="J126" i="1"/>
  <c r="K123" i="1"/>
  <c r="K124" i="1"/>
  <c r="K125" i="1"/>
  <c r="K122" i="1"/>
  <c r="J123" i="1"/>
  <c r="J124" i="1"/>
  <c r="J125" i="1"/>
  <c r="J122" i="1"/>
  <c r="N126" i="1"/>
  <c r="N125" i="1"/>
  <c r="N124" i="1"/>
  <c r="N123" i="1"/>
  <c r="N122" i="1"/>
  <c r="K121" i="1"/>
  <c r="J121" i="1"/>
  <c r="K118" i="1"/>
  <c r="K119" i="1"/>
  <c r="K120" i="1"/>
  <c r="K117" i="1"/>
  <c r="J118" i="1"/>
  <c r="J119" i="1"/>
  <c r="J120" i="1"/>
  <c r="J117" i="1"/>
  <c r="N121" i="1"/>
  <c r="N120" i="1"/>
  <c r="N119" i="1"/>
  <c r="N118" i="1"/>
  <c r="N117" i="1"/>
  <c r="K116" i="1"/>
  <c r="J116" i="1"/>
  <c r="K113" i="1"/>
  <c r="K114" i="1"/>
  <c r="K115" i="1"/>
  <c r="J113" i="1"/>
  <c r="J114" i="1"/>
  <c r="J115" i="1"/>
  <c r="K112" i="1"/>
  <c r="J112" i="1"/>
  <c r="N116" i="1"/>
  <c r="N115" i="1"/>
  <c r="N114" i="1"/>
  <c r="N113" i="1"/>
  <c r="N112" i="1"/>
  <c r="K111" i="1"/>
  <c r="J111" i="1"/>
  <c r="K108" i="1"/>
  <c r="K109" i="1"/>
  <c r="K110" i="1"/>
  <c r="J108" i="1"/>
  <c r="J109" i="1"/>
  <c r="J110" i="1"/>
  <c r="K107" i="1"/>
  <c r="J107" i="1"/>
  <c r="N111" i="1"/>
  <c r="N110" i="1"/>
  <c r="N109" i="1"/>
  <c r="N108" i="1"/>
  <c r="N107" i="1"/>
  <c r="K106" i="1"/>
  <c r="J106" i="1"/>
  <c r="K103" i="1"/>
  <c r="K104" i="1"/>
  <c r="K105" i="1"/>
  <c r="K102" i="1"/>
  <c r="J103" i="1"/>
  <c r="J104" i="1"/>
  <c r="J105" i="1"/>
  <c r="J102" i="1"/>
  <c r="N106" i="1"/>
  <c r="N105" i="1"/>
  <c r="N104" i="1"/>
  <c r="N103" i="1"/>
  <c r="N102" i="1"/>
  <c r="K101" i="1"/>
  <c r="J100" i="1"/>
  <c r="J101" i="1"/>
  <c r="J98" i="1"/>
  <c r="J99" i="1"/>
  <c r="K98" i="1"/>
  <c r="K99" i="1"/>
  <c r="K100" i="1"/>
  <c r="K97" i="1"/>
  <c r="J97" i="1"/>
  <c r="N101" i="1"/>
  <c r="N100" i="1"/>
  <c r="N99" i="1"/>
  <c r="N98" i="1"/>
  <c r="N97" i="1"/>
  <c r="K96" i="1"/>
  <c r="J96" i="1"/>
  <c r="K93" i="1"/>
  <c r="K94" i="1"/>
  <c r="K95" i="1"/>
  <c r="J93" i="1"/>
  <c r="J94" i="1"/>
  <c r="J95" i="1"/>
  <c r="K92" i="1"/>
  <c r="J92" i="1"/>
  <c r="N96" i="1"/>
  <c r="N95" i="1"/>
  <c r="N94" i="1"/>
  <c r="N93" i="1"/>
  <c r="N92" i="1"/>
  <c r="K91" i="1"/>
  <c r="K88" i="1"/>
  <c r="K89" i="1"/>
  <c r="K90" i="1"/>
  <c r="K87" i="1"/>
  <c r="J91" i="1"/>
  <c r="J88" i="1"/>
  <c r="J89" i="1"/>
  <c r="J90" i="1"/>
  <c r="J87" i="1"/>
  <c r="N91" i="1"/>
  <c r="N90" i="1"/>
  <c r="N89" i="1"/>
  <c r="N88" i="1"/>
  <c r="N87" i="1"/>
  <c r="K86" i="1"/>
  <c r="J86" i="1"/>
  <c r="K83" i="1"/>
  <c r="K84" i="1"/>
  <c r="K85" i="1"/>
  <c r="J83" i="1"/>
  <c r="J84" i="1"/>
  <c r="J85" i="1"/>
  <c r="K82" i="1"/>
  <c r="J82" i="1"/>
  <c r="N86" i="1"/>
  <c r="N85" i="1"/>
  <c r="N84" i="1"/>
  <c r="N83" i="1"/>
  <c r="N82" i="1"/>
  <c r="K81" i="1"/>
  <c r="K78" i="1"/>
  <c r="K79" i="1"/>
  <c r="K80" i="1"/>
  <c r="K77" i="1"/>
  <c r="J81" i="1"/>
  <c r="J78" i="1"/>
  <c r="J79" i="1"/>
  <c r="J80" i="1"/>
  <c r="J77" i="1"/>
  <c r="N81" i="1"/>
  <c r="N80" i="1"/>
  <c r="N79" i="1"/>
  <c r="N78" i="1"/>
  <c r="N77" i="1"/>
  <c r="K76" i="1"/>
  <c r="J76" i="1"/>
  <c r="J73" i="1"/>
  <c r="J74" i="1"/>
  <c r="J75" i="1"/>
  <c r="J72" i="1"/>
  <c r="K73" i="1"/>
  <c r="K74" i="1"/>
  <c r="K75" i="1"/>
  <c r="K72" i="1"/>
  <c r="N76" i="1"/>
  <c r="N75" i="1"/>
  <c r="N74" i="1"/>
  <c r="N73" i="1"/>
  <c r="N72" i="1"/>
  <c r="K71" i="1"/>
  <c r="J71" i="1"/>
  <c r="K68" i="1"/>
  <c r="K69" i="1"/>
  <c r="K70" i="1"/>
  <c r="J68" i="1"/>
  <c r="J69" i="1"/>
  <c r="J70" i="1"/>
  <c r="K67" i="1"/>
  <c r="J67" i="1"/>
  <c r="N71" i="1"/>
  <c r="N70" i="1"/>
  <c r="N69" i="1"/>
  <c r="N68" i="1"/>
  <c r="N67" i="1"/>
  <c r="J53" i="1"/>
  <c r="K66" i="1"/>
  <c r="J66" i="1"/>
  <c r="K63" i="1"/>
  <c r="K64" i="1"/>
  <c r="K65" i="1"/>
  <c r="J63" i="1"/>
  <c r="J64" i="1"/>
  <c r="J65" i="1"/>
  <c r="K62" i="1"/>
  <c r="J62" i="1"/>
  <c r="N66" i="1"/>
  <c r="N65" i="1"/>
  <c r="N64" i="1"/>
  <c r="N63" i="1"/>
  <c r="N62" i="1"/>
  <c r="K61" i="1"/>
  <c r="J61" i="1"/>
  <c r="K58" i="1"/>
  <c r="K59" i="1"/>
  <c r="K60" i="1"/>
  <c r="K57" i="1"/>
  <c r="J58" i="1"/>
  <c r="J59" i="1"/>
  <c r="J60" i="1"/>
  <c r="J57" i="1"/>
  <c r="N61" i="1"/>
  <c r="N60" i="1"/>
  <c r="N59" i="1"/>
  <c r="N58" i="1"/>
  <c r="N57" i="1"/>
  <c r="K56" i="1"/>
  <c r="J56" i="1"/>
  <c r="K53" i="1"/>
  <c r="K54" i="1"/>
  <c r="K55" i="1"/>
  <c r="J54" i="1"/>
  <c r="J55" i="1"/>
  <c r="K52" i="1"/>
  <c r="J52" i="1"/>
  <c r="N56" i="1"/>
  <c r="N55" i="1"/>
  <c r="N54" i="1"/>
  <c r="N53" i="1"/>
  <c r="N52" i="1"/>
  <c r="N47" i="1"/>
  <c r="K51" i="1"/>
  <c r="J51" i="1"/>
  <c r="J50" i="1"/>
  <c r="K48" i="1"/>
  <c r="K49" i="1"/>
  <c r="K50" i="1"/>
  <c r="K47" i="1"/>
  <c r="J48" i="1"/>
  <c r="J49" i="1"/>
  <c r="J47" i="1"/>
  <c r="N51" i="1"/>
  <c r="N50" i="1"/>
  <c r="N49" i="1"/>
  <c r="N48" i="1"/>
  <c r="K46" i="1"/>
  <c r="J46" i="1"/>
  <c r="K43" i="1"/>
  <c r="K44" i="1"/>
  <c r="K45" i="1"/>
  <c r="K42" i="1"/>
  <c r="J43" i="1"/>
  <c r="J44" i="1"/>
  <c r="J45" i="1"/>
  <c r="J42" i="1"/>
  <c r="N46" i="1"/>
  <c r="N45" i="1"/>
  <c r="N44" i="1"/>
  <c r="N43" i="1"/>
  <c r="N42" i="1"/>
  <c r="K41" i="1"/>
  <c r="J41" i="1"/>
  <c r="N41" i="1"/>
  <c r="N40" i="1"/>
  <c r="N39" i="1"/>
  <c r="N38" i="1"/>
  <c r="N37" i="1"/>
  <c r="K38" i="1"/>
  <c r="K39" i="1"/>
  <c r="K40" i="1"/>
  <c r="J38" i="1"/>
  <c r="J39" i="1"/>
  <c r="J40" i="1"/>
  <c r="K37" i="1"/>
  <c r="J37" i="1"/>
  <c r="K36" i="1"/>
  <c r="J36" i="1"/>
  <c r="J33" i="1"/>
  <c r="J34" i="1"/>
  <c r="J35" i="1"/>
  <c r="J32" i="1"/>
  <c r="K33" i="1"/>
  <c r="K34" i="1"/>
  <c r="K35" i="1"/>
  <c r="K32" i="1"/>
  <c r="N32" i="1"/>
  <c r="N33" i="1"/>
  <c r="N34" i="1"/>
  <c r="N35" i="1"/>
  <c r="N36" i="1"/>
  <c r="K31" i="1"/>
  <c r="K30" i="1"/>
  <c r="J31" i="1"/>
  <c r="K28" i="1"/>
  <c r="K29" i="1"/>
  <c r="K27" i="1"/>
  <c r="J29" i="1"/>
  <c r="J30" i="1"/>
  <c r="J27" i="1"/>
  <c r="J28" i="1"/>
  <c r="N31" i="1"/>
  <c r="N28" i="1"/>
  <c r="N27" i="1"/>
  <c r="K26" i="1"/>
  <c r="J26" i="1"/>
  <c r="K23" i="1"/>
  <c r="K24" i="1"/>
  <c r="K25" i="1"/>
  <c r="K22" i="1"/>
  <c r="J23" i="1"/>
  <c r="J24" i="1"/>
  <c r="J25" i="1"/>
  <c r="J22" i="1"/>
  <c r="N26" i="1"/>
  <c r="N25" i="1"/>
  <c r="N24" i="1"/>
  <c r="N23" i="1"/>
  <c r="N22" i="1"/>
  <c r="K21" i="1"/>
  <c r="J21" i="1"/>
  <c r="K18" i="1"/>
  <c r="K19" i="1"/>
  <c r="K20" i="1"/>
  <c r="K17" i="1"/>
  <c r="J18" i="1"/>
  <c r="J19" i="1"/>
  <c r="J20" i="1"/>
  <c r="J17" i="1"/>
  <c r="N21" i="1"/>
  <c r="N20" i="1"/>
  <c r="N19" i="1"/>
  <c r="N18" i="1"/>
  <c r="N17" i="1"/>
  <c r="N12" i="1"/>
  <c r="N11" i="1"/>
  <c r="K16" i="1"/>
  <c r="J16" i="1"/>
  <c r="K13" i="1"/>
  <c r="K14" i="1"/>
  <c r="K15" i="1"/>
  <c r="K12" i="1"/>
  <c r="J13" i="1"/>
  <c r="J14" i="1"/>
  <c r="J15" i="1"/>
  <c r="J12" i="1"/>
  <c r="J9" i="1"/>
  <c r="N16" i="1"/>
  <c r="N15" i="1"/>
  <c r="N14" i="1"/>
  <c r="N13" i="1"/>
  <c r="J11" i="1"/>
  <c r="N7" i="1"/>
  <c r="N8" i="1"/>
  <c r="N9" i="1"/>
  <c r="N10" i="1"/>
  <c r="K8" i="1"/>
  <c r="K9" i="1"/>
  <c r="K10" i="1"/>
  <c r="K7" i="1"/>
  <c r="J8" i="1"/>
  <c r="J10" i="1"/>
  <c r="J7" i="1"/>
  <c r="N3" i="1"/>
  <c r="N4" i="1"/>
  <c r="N5" i="1"/>
  <c r="N6" i="1"/>
  <c r="N2" i="1"/>
  <c r="K6" i="1"/>
  <c r="K3" i="1"/>
  <c r="K4" i="1"/>
  <c r="K5" i="1"/>
  <c r="K2" i="1"/>
  <c r="J6" i="1"/>
  <c r="J3" i="1"/>
  <c r="J4" i="1"/>
  <c r="J5" i="1"/>
  <c r="J2" i="1"/>
</calcChain>
</file>

<file path=xl/sharedStrings.xml><?xml version="1.0" encoding="utf-8"?>
<sst xmlns="http://schemas.openxmlformats.org/spreadsheetml/2006/main" count="232" uniqueCount="66">
  <si>
    <t>Bank</t>
  </si>
  <si>
    <t>Year</t>
  </si>
  <si>
    <t>Net Income</t>
  </si>
  <si>
    <t xml:space="preserve">Total Assets </t>
  </si>
  <si>
    <t>Total Equity</t>
  </si>
  <si>
    <t>Loans</t>
  </si>
  <si>
    <t xml:space="preserve">Deposits </t>
  </si>
  <si>
    <t>CET1</t>
  </si>
  <si>
    <t>ROE</t>
  </si>
  <si>
    <t>ROA</t>
  </si>
  <si>
    <t>Cost-to-Income</t>
  </si>
  <si>
    <t>Loan-to-Deposit</t>
  </si>
  <si>
    <t>LCR</t>
  </si>
  <si>
    <t>JPMorgan Chase</t>
  </si>
  <si>
    <t>Net Interest Income</t>
  </si>
  <si>
    <t>Net Yield</t>
  </si>
  <si>
    <t>Bank of America</t>
  </si>
  <si>
    <t>Wells Fargo</t>
  </si>
  <si>
    <t>Citigroup</t>
  </si>
  <si>
    <t>Goldman Sachs</t>
  </si>
  <si>
    <t>-</t>
  </si>
  <si>
    <t xml:space="preserve">Morgan Stanley </t>
  </si>
  <si>
    <t>U.S. Bancorp</t>
  </si>
  <si>
    <t>PNC Financial Services Group</t>
  </si>
  <si>
    <t>Capital One</t>
  </si>
  <si>
    <t>Truist Financial</t>
  </si>
  <si>
    <t xml:space="preserve">Capital One </t>
  </si>
  <si>
    <t>HSBC</t>
  </si>
  <si>
    <t>Barklays PLC</t>
  </si>
  <si>
    <t>Lloyds BG</t>
  </si>
  <si>
    <t>BNP Paribas</t>
  </si>
  <si>
    <t>Credit Agricole S.A.</t>
  </si>
  <si>
    <t>Deutsche Bank</t>
  </si>
  <si>
    <t>Commerzbank</t>
  </si>
  <si>
    <t>Santander Group</t>
  </si>
  <si>
    <t>BBVA Group</t>
  </si>
  <si>
    <t xml:space="preserve">Unicredit </t>
  </si>
  <si>
    <t>Intesa Sanpaolo</t>
  </si>
  <si>
    <t>UBS Group</t>
  </si>
  <si>
    <t>Commonwealth Bank Australia</t>
  </si>
  <si>
    <t>Mitsubishi UFJ Financial Group</t>
  </si>
  <si>
    <t>.0.46%</t>
  </si>
  <si>
    <t>FX Rate</t>
  </si>
  <si>
    <t>Sumitomo Mitsui Financial Group</t>
  </si>
  <si>
    <t>Industrial and Commercial Bank of China</t>
  </si>
  <si>
    <t>China Construction Bank</t>
  </si>
  <si>
    <t xml:space="preserve">DBS Group Holdings </t>
  </si>
  <si>
    <t>United Overseas Bank</t>
  </si>
  <si>
    <t>Maybank</t>
  </si>
  <si>
    <t xml:space="preserve">Bank Financial Analysis Dashboard </t>
  </si>
  <si>
    <t>Morgan Stanley</t>
  </si>
  <si>
    <t>Barclays PLC</t>
  </si>
  <si>
    <t>DBS Group Holdings</t>
  </si>
  <si>
    <t>Avg ROE</t>
  </si>
  <si>
    <t xml:space="preserve">Avg ROA </t>
  </si>
  <si>
    <t xml:space="preserve">Avg Net Yield </t>
  </si>
  <si>
    <t>Avg CET1</t>
  </si>
  <si>
    <t>Avg Cost-to-Income</t>
  </si>
  <si>
    <t>Avg LCR</t>
  </si>
  <si>
    <t>1. Lloyds BG</t>
  </si>
  <si>
    <t>2.BBVA Group</t>
  </si>
  <si>
    <t>3.DBS Group Holdings</t>
  </si>
  <si>
    <t xml:space="preserve">4.Capital One </t>
  </si>
  <si>
    <t xml:space="preserve">5.UniCredit </t>
  </si>
  <si>
    <t>UniCredit</t>
  </si>
  <si>
    <t>Top 5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</si>
</sst>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0.0%"/>
    <numFmt numFmtId="175" formatCode="_([$$-409]* #,##0.00_);_([$$-409]* \(#,##0.00\);_([$$-409]* &quot;-&quot;??_);_(@_)"/>
    <numFmt numFmtId="178" formatCode="_-[$£-809]* #,##0.00_-;\-[$£-809]* #,##0.00_-;_-[$£-809]* &quot;-&quot;??_-;_-@_-"/>
    <numFmt numFmtId="179" formatCode="_([$€-2]\ * #,##0.00_);_([$€-2]\ * \(#,##0.00\);_([$€-2]\ * &quot;-&quot;??_);_(@_)"/>
    <numFmt numFmtId="180" formatCode="_-[$$-C09]* #,##0.00_-;\-[$$-C09]* #,##0.00_-;_-[$$-C09]* &quot;-&quot;??_-;_-@_-"/>
    <numFmt numFmtId="181" formatCode="_-[$¥-411]* #,##0.00_-;\-[$¥-411]* #,##0.00_-;_-[$¥-411]* &quot;-&quot;??_-;_-@_-"/>
    <numFmt numFmtId="182" formatCode="_ [$¥-804]* #,##0.00_ ;_ [$¥-804]* \-#,##0.00_ ;_ [$¥-804]* &quot;-&quot;??_ ;_ @_ "/>
    <numFmt numFmtId="183" formatCode="_-[$$-1004]* #,##0.00_-;\-[$$-1004]* #,##0.00_-;_-[$$-1004]* &quot;-&quot;??_-;_-@_-"/>
    <numFmt numFmtId="184" formatCode="_-[$$-83E]\ * #,##0.00_-;\-[$$-83E]\ * #,##0.00_-;_-[$$-83E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0" fontId="0" fillId="0" borderId="0" xfId="0" applyNumberFormat="1"/>
    <xf numFmtId="166" fontId="0" fillId="0" borderId="0" xfId="0" applyNumberFormat="1"/>
    <xf numFmtId="9" fontId="0" fillId="0" borderId="0" xfId="0" applyNumberFormat="1"/>
    <xf numFmtId="166" fontId="0" fillId="0" borderId="0" xfId="0" applyNumberFormat="1" applyAlignment="1">
      <alignment horizontal="right"/>
    </xf>
    <xf numFmtId="9" fontId="0" fillId="0" borderId="0" xfId="3" applyFont="1"/>
    <xf numFmtId="0" fontId="2" fillId="0" borderId="0" xfId="0" applyFont="1"/>
    <xf numFmtId="0" fontId="3" fillId="0" borderId="0" xfId="0" applyFont="1"/>
    <xf numFmtId="175" fontId="0" fillId="0" borderId="0" xfId="2" applyNumberFormat="1" applyFont="1"/>
    <xf numFmtId="0" fontId="0" fillId="0" borderId="0" xfId="0" applyAlignment="1">
      <alignment horizontal="left" wrapText="1"/>
    </xf>
    <xf numFmtId="178" fontId="0" fillId="0" borderId="0" xfId="0" applyNumberFormat="1"/>
    <xf numFmtId="178" fontId="0" fillId="0" borderId="0" xfId="2" applyNumberFormat="1" applyFont="1"/>
    <xf numFmtId="175" fontId="0" fillId="0" borderId="0" xfId="0" applyNumberFormat="1"/>
    <xf numFmtId="179" fontId="0" fillId="0" borderId="0" xfId="2" applyNumberFormat="1" applyFont="1"/>
    <xf numFmtId="179" fontId="0" fillId="0" borderId="0" xfId="0" applyNumberFormat="1"/>
    <xf numFmtId="0" fontId="0" fillId="0" borderId="0" xfId="0" applyAlignment="1">
      <alignment wrapText="1"/>
    </xf>
    <xf numFmtId="180" fontId="0" fillId="0" borderId="0" xfId="2" applyNumberFormat="1" applyFont="1"/>
    <xf numFmtId="181" fontId="0" fillId="0" borderId="0" xfId="0" applyNumberFormat="1"/>
    <xf numFmtId="181" fontId="0" fillId="0" borderId="0" xfId="1" applyNumberFormat="1" applyFont="1"/>
    <xf numFmtId="182" fontId="0" fillId="0" borderId="0" xfId="2" applyNumberFormat="1" applyFont="1"/>
    <xf numFmtId="10" fontId="0" fillId="0" borderId="0" xfId="3" applyNumberFormat="1" applyFont="1"/>
    <xf numFmtId="183" fontId="0" fillId="0" borderId="0" xfId="2" applyNumberFormat="1" applyFont="1"/>
    <xf numFmtId="184" fontId="0" fillId="0" borderId="0" xfId="2" applyNumberFormat="1" applyFont="1"/>
    <xf numFmtId="10" fontId="0" fillId="0" borderId="0" xfId="0" applyNumberFormat="1" applyAlignme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</cellXfs>
  <cellStyles count="4"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F290-EB95-4CFD-99D5-570104D69603}">
  <dimension ref="A1:P151"/>
  <sheetViews>
    <sheetView workbookViewId="0">
      <selection sqref="A1:P1"/>
    </sheetView>
  </sheetViews>
  <sheetFormatPr defaultRowHeight="14.4" x14ac:dyDescent="0.3"/>
  <cols>
    <col min="1" max="1" width="14.44140625" customWidth="1"/>
    <col min="3" max="3" width="14.33203125" customWidth="1"/>
    <col min="4" max="4" width="14.77734375" customWidth="1"/>
    <col min="5" max="5" width="13.44140625" customWidth="1"/>
    <col min="6" max="6" width="14.109375" bestFit="1" customWidth="1"/>
    <col min="7" max="7" width="14.21875" bestFit="1" customWidth="1"/>
    <col min="8" max="8" width="17.44140625" customWidth="1"/>
    <col min="10" max="10" width="8.88671875" customWidth="1"/>
    <col min="11" max="11" width="9" customWidth="1"/>
    <col min="13" max="13" width="13.44140625" customWidth="1"/>
    <col min="14" max="14" width="15" customWidth="1"/>
    <col min="16" max="16" width="9" customWidth="1"/>
  </cols>
  <sheetData>
    <row r="1" spans="1:1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14</v>
      </c>
      <c r="I1" s="6" t="s">
        <v>7</v>
      </c>
      <c r="J1" s="6" t="s">
        <v>8</v>
      </c>
      <c r="K1" s="6" t="s">
        <v>9</v>
      </c>
      <c r="L1" s="6" t="s">
        <v>15</v>
      </c>
      <c r="M1" s="6" t="s">
        <v>10</v>
      </c>
      <c r="N1" s="6" t="s">
        <v>11</v>
      </c>
      <c r="O1" s="6" t="s">
        <v>12</v>
      </c>
      <c r="P1" s="6" t="s">
        <v>42</v>
      </c>
    </row>
    <row r="2" spans="1:16" x14ac:dyDescent="0.3">
      <c r="A2" t="s">
        <v>13</v>
      </c>
      <c r="B2">
        <v>2025</v>
      </c>
      <c r="C2" s="12">
        <v>57000</v>
      </c>
      <c r="D2" s="12">
        <v>4424900</v>
      </c>
      <c r="E2" s="12">
        <v>362438</v>
      </c>
      <c r="F2" s="12">
        <v>1493429</v>
      </c>
      <c r="G2" s="12">
        <v>2559320</v>
      </c>
      <c r="H2" s="12">
        <v>96443</v>
      </c>
      <c r="I2" s="2">
        <v>0.14599999999999999</v>
      </c>
      <c r="J2" s="1">
        <f>C2/AVERAGE(E2,E3)</f>
        <v>0.1612000067873687</v>
      </c>
      <c r="K2" s="1">
        <f>C2/AVERAGE(D2,D3)</f>
        <v>1.3526799794107869E-2</v>
      </c>
      <c r="L2" s="1">
        <v>2.1999999999999999E-2</v>
      </c>
      <c r="M2" s="2">
        <v>0.49</v>
      </c>
      <c r="N2" s="1">
        <f>F2/G2</f>
        <v>0.58352570213963084</v>
      </c>
      <c r="O2" s="5">
        <v>1.1100000000000001</v>
      </c>
    </row>
    <row r="3" spans="1:16" x14ac:dyDescent="0.3">
      <c r="A3" t="s">
        <v>13</v>
      </c>
      <c r="B3">
        <v>2024</v>
      </c>
      <c r="C3" s="12">
        <v>58471</v>
      </c>
      <c r="D3" s="12">
        <v>4002814</v>
      </c>
      <c r="E3" s="12">
        <v>344758</v>
      </c>
      <c r="F3" s="12">
        <v>1347988</v>
      </c>
      <c r="G3" s="12">
        <v>2406032</v>
      </c>
      <c r="H3" s="12">
        <v>92583</v>
      </c>
      <c r="I3" s="2">
        <v>0.157</v>
      </c>
      <c r="J3" s="1">
        <f>C3/AVERAGE(E3,E4)</f>
        <v>0.1738562907724237</v>
      </c>
      <c r="K3" s="1">
        <f>C3/AVERAGE(D3,D4)</f>
        <v>1.4843732844288048E-2</v>
      </c>
      <c r="L3" s="1">
        <v>2.5999999999999999E-2</v>
      </c>
      <c r="M3" s="2">
        <v>0.5</v>
      </c>
      <c r="N3" s="1">
        <f t="shared" ref="N3:N151" si="0">F3/G3</f>
        <v>0.56025356271238291</v>
      </c>
      <c r="O3" s="3">
        <v>1.1299999999999999</v>
      </c>
    </row>
    <row r="4" spans="1:16" x14ac:dyDescent="0.3">
      <c r="A4" t="s">
        <v>13</v>
      </c>
      <c r="B4">
        <v>2023</v>
      </c>
      <c r="C4" s="12">
        <v>49552</v>
      </c>
      <c r="D4" s="12">
        <v>3875393</v>
      </c>
      <c r="E4" s="12">
        <v>327878</v>
      </c>
      <c r="F4" s="12">
        <v>1323706</v>
      </c>
      <c r="G4" s="12">
        <v>2400688</v>
      </c>
      <c r="H4" s="12">
        <v>88267</v>
      </c>
      <c r="I4" s="2">
        <v>0.15</v>
      </c>
      <c r="J4" s="1">
        <f>C4/AVERAGE(E4,E5)</f>
        <v>0.15979103851921123</v>
      </c>
      <c r="K4" s="1">
        <f>C4/AVERAGE(D4,D5)</f>
        <v>1.3141786595547409E-2</v>
      </c>
      <c r="L4" s="1">
        <v>2.8000000000000001E-2</v>
      </c>
      <c r="M4" s="2">
        <v>0.53</v>
      </c>
      <c r="N4" s="1">
        <f t="shared" si="0"/>
        <v>0.55138610265057353</v>
      </c>
      <c r="O4" s="3">
        <v>1.1299999999999999</v>
      </c>
    </row>
    <row r="5" spans="1:16" x14ac:dyDescent="0.3">
      <c r="A5" t="s">
        <v>13</v>
      </c>
      <c r="B5">
        <v>2022</v>
      </c>
      <c r="C5" s="12">
        <v>37676</v>
      </c>
      <c r="D5" s="12">
        <v>3665743</v>
      </c>
      <c r="E5" s="12">
        <v>292332</v>
      </c>
      <c r="F5" s="12">
        <v>1032282</v>
      </c>
      <c r="G5" s="12">
        <v>2340005</v>
      </c>
      <c r="H5" s="12">
        <v>66710</v>
      </c>
      <c r="I5" s="4">
        <v>0.13200000000000001</v>
      </c>
      <c r="J5" s="1">
        <f>C5/AVERAGE(E5,E6)</f>
        <v>0.12848770489706762</v>
      </c>
      <c r="K5" s="1">
        <f>C5/AVERAGE(D5,D6)</f>
        <v>1.0169907859166372E-2</v>
      </c>
      <c r="L5" s="1">
        <v>2.1999999999999999E-2</v>
      </c>
      <c r="M5" s="2">
        <v>0.59</v>
      </c>
      <c r="N5" s="1">
        <f t="shared" si="0"/>
        <v>0.44114521122818112</v>
      </c>
      <c r="O5" s="3">
        <v>1.1200000000000001</v>
      </c>
    </row>
    <row r="6" spans="1:16" x14ac:dyDescent="0.3">
      <c r="A6" t="s">
        <v>13</v>
      </c>
      <c r="B6">
        <v>2021</v>
      </c>
      <c r="C6" s="12">
        <v>48334</v>
      </c>
      <c r="D6" s="12">
        <v>3743567</v>
      </c>
      <c r="E6" s="12">
        <v>294121</v>
      </c>
      <c r="F6" s="12">
        <v>1077857</v>
      </c>
      <c r="G6" s="12">
        <v>2462292</v>
      </c>
      <c r="H6" s="12">
        <v>52311</v>
      </c>
      <c r="I6" s="2">
        <v>0.13100000000000001</v>
      </c>
      <c r="J6" s="1">
        <f>C6/AVERAGE(E6,279354)</f>
        <v>0.16856532542830988</v>
      </c>
      <c r="K6" s="1">
        <f>C6/AVERAGE(D6,3386071)</f>
        <v>1.3558612653265145E-2</v>
      </c>
      <c r="L6" s="1">
        <v>1.9E-2</v>
      </c>
      <c r="M6" s="2">
        <v>0.59</v>
      </c>
      <c r="N6" s="1">
        <f t="shared" si="0"/>
        <v>0.43774540143898449</v>
      </c>
      <c r="O6" s="3">
        <v>1.1100000000000001</v>
      </c>
    </row>
    <row r="7" spans="1:16" x14ac:dyDescent="0.3">
      <c r="A7" t="s">
        <v>16</v>
      </c>
      <c r="B7">
        <v>2025</v>
      </c>
      <c r="C7" s="12">
        <v>30509</v>
      </c>
      <c r="D7" s="12">
        <v>3410394</v>
      </c>
      <c r="E7" s="12">
        <v>303243</v>
      </c>
      <c r="F7" s="12">
        <v>1185700</v>
      </c>
      <c r="G7" s="12">
        <v>2018729</v>
      </c>
      <c r="H7" s="12">
        <v>60096</v>
      </c>
      <c r="I7" s="2">
        <v>0.114</v>
      </c>
      <c r="J7" s="1">
        <f>C7/AVERAGE(E7,E8)</f>
        <v>0.10217244970747112</v>
      </c>
      <c r="K7" s="1">
        <f>C7/AVERAGE(D7,D8)</f>
        <v>9.1458045206816319E-3</v>
      </c>
      <c r="L7" s="1">
        <v>2.0099999999999996E-2</v>
      </c>
      <c r="M7" s="1">
        <v>0.62749999999999995</v>
      </c>
      <c r="N7" s="1">
        <f t="shared" si="0"/>
        <v>0.58734976314304699</v>
      </c>
      <c r="O7" s="3">
        <v>1.1200000000000001</v>
      </c>
    </row>
    <row r="8" spans="1:16" x14ac:dyDescent="0.3">
      <c r="A8" t="s">
        <v>16</v>
      </c>
      <c r="B8">
        <v>2024</v>
      </c>
      <c r="C8" s="12">
        <v>26973</v>
      </c>
      <c r="D8" s="12">
        <v>3261299</v>
      </c>
      <c r="E8" s="12">
        <v>293963</v>
      </c>
      <c r="F8" s="12">
        <v>1095835</v>
      </c>
      <c r="G8" s="12">
        <v>1965467</v>
      </c>
      <c r="H8" s="12">
        <v>56060</v>
      </c>
      <c r="I8" s="2">
        <v>0.11900000000000001</v>
      </c>
      <c r="J8" s="1">
        <f>C8/AVERAGE(E8,E9)</f>
        <v>9.2119485868557352E-2</v>
      </c>
      <c r="K8" s="1">
        <f>C8/AVERAGE(D8,D9)</f>
        <v>8.3748224390471082E-3</v>
      </c>
      <c r="L8" s="1">
        <v>1.95E-2</v>
      </c>
      <c r="M8" s="1">
        <v>0.63039999999999996</v>
      </c>
      <c r="N8" s="1">
        <f t="shared" si="0"/>
        <v>0.55754433933513003</v>
      </c>
      <c r="O8" s="3">
        <v>1.1299999999999999</v>
      </c>
    </row>
    <row r="9" spans="1:16" x14ac:dyDescent="0.3">
      <c r="A9" t="s">
        <v>16</v>
      </c>
      <c r="B9">
        <v>2023</v>
      </c>
      <c r="C9" s="12">
        <v>26515</v>
      </c>
      <c r="D9" s="12">
        <v>3180151</v>
      </c>
      <c r="E9" s="12">
        <v>291646</v>
      </c>
      <c r="F9" s="12">
        <v>1053732</v>
      </c>
      <c r="G9" s="12">
        <v>1923827</v>
      </c>
      <c r="H9" s="12">
        <v>56931</v>
      </c>
      <c r="I9" s="2">
        <v>0.11800000000000001</v>
      </c>
      <c r="J9" s="1">
        <f>C9/AVERAGE(E9,E10)</f>
        <v>9.3884495337642496E-2</v>
      </c>
      <c r="K9" s="1">
        <f>C9/AVERAGE(D9,D10)</f>
        <v>8.5108677666651637E-3</v>
      </c>
      <c r="L9" s="1">
        <v>2.0799999999999999E-2</v>
      </c>
      <c r="M9" s="1">
        <v>0.66409999999999991</v>
      </c>
      <c r="N9" s="1">
        <f t="shared" si="0"/>
        <v>0.54772700455914181</v>
      </c>
      <c r="O9" s="3">
        <v>1.1499999999999999</v>
      </c>
    </row>
    <row r="10" spans="1:16" x14ac:dyDescent="0.3">
      <c r="A10" t="s">
        <v>16</v>
      </c>
      <c r="B10">
        <v>2022</v>
      </c>
      <c r="C10" s="12">
        <v>27528</v>
      </c>
      <c r="D10" s="12">
        <v>3050706</v>
      </c>
      <c r="E10" s="12">
        <v>273197</v>
      </c>
      <c r="F10" s="12">
        <v>1045747</v>
      </c>
      <c r="G10" s="12">
        <v>1930341</v>
      </c>
      <c r="H10" s="12">
        <v>51462</v>
      </c>
      <c r="I10" s="2">
        <v>0.11199999999999999</v>
      </c>
      <c r="J10" s="1">
        <f>C10/AVERAGE(E10,E11)</f>
        <v>0.10134318000673707</v>
      </c>
      <c r="K10" s="1">
        <f>C10/AVERAGE(D10,D11)</f>
        <v>8.8505163604984307E-3</v>
      </c>
      <c r="L10" s="1">
        <v>1.9599999999999999E-2</v>
      </c>
      <c r="M10" s="1">
        <v>0.64410000000000001</v>
      </c>
      <c r="N10" s="1">
        <f t="shared" si="0"/>
        <v>0.54174210670549916</v>
      </c>
      <c r="O10" s="3">
        <v>1.2</v>
      </c>
    </row>
    <row r="11" spans="1:16" x14ac:dyDescent="0.3">
      <c r="A11" t="s">
        <v>16</v>
      </c>
      <c r="B11">
        <v>2021</v>
      </c>
      <c r="C11" s="12">
        <v>31978</v>
      </c>
      <c r="D11" s="12">
        <v>3169948</v>
      </c>
      <c r="E11" s="12">
        <v>270066</v>
      </c>
      <c r="F11" s="12">
        <v>979124</v>
      </c>
      <c r="G11" s="12">
        <v>2064446</v>
      </c>
      <c r="H11" s="12">
        <v>42934</v>
      </c>
      <c r="I11" s="2">
        <v>0.106</v>
      </c>
      <c r="J11" s="1">
        <f>C11/AVERAGE(E11,272924)</f>
        <v>0.11778485791635206</v>
      </c>
      <c r="K11" s="1">
        <v>1.0500000000000001E-2</v>
      </c>
      <c r="L11" s="1">
        <v>1.66E-2</v>
      </c>
      <c r="M11" s="1">
        <v>0.66709999999999992</v>
      </c>
      <c r="N11" s="1">
        <f>F11/G11</f>
        <v>0.47427929817490988</v>
      </c>
      <c r="O11" s="3">
        <v>1.1499999999999999</v>
      </c>
    </row>
    <row r="12" spans="1:16" x14ac:dyDescent="0.3">
      <c r="A12" t="s">
        <v>17</v>
      </c>
      <c r="B12">
        <v>2025</v>
      </c>
      <c r="C12" s="12">
        <v>21338</v>
      </c>
      <c r="D12" s="12">
        <v>2148631</v>
      </c>
      <c r="E12" s="12">
        <v>183038</v>
      </c>
      <c r="F12" s="12">
        <v>986167</v>
      </c>
      <c r="G12" s="12">
        <v>1426207</v>
      </c>
      <c r="H12" s="8">
        <v>47484</v>
      </c>
      <c r="I12" s="1">
        <v>0.106</v>
      </c>
      <c r="J12" s="1">
        <f>C12/AVERAGE(E12,E13)</f>
        <v>0.11720827016456836</v>
      </c>
      <c r="K12" s="1">
        <f>C12/AVERAGE(D12,D13)</f>
        <v>1.0463712425915955E-2</v>
      </c>
      <c r="L12" s="1">
        <v>2.6699999999999998E-2</v>
      </c>
      <c r="M12" s="1">
        <v>0.66</v>
      </c>
      <c r="N12" s="1">
        <f t="shared" si="0"/>
        <v>0.69146133765996098</v>
      </c>
      <c r="O12" s="3">
        <v>1.19</v>
      </c>
    </row>
    <row r="13" spans="1:16" x14ac:dyDescent="0.3">
      <c r="A13" t="s">
        <v>17</v>
      </c>
      <c r="B13">
        <v>2024</v>
      </c>
      <c r="C13" s="12">
        <v>19772</v>
      </c>
      <c r="D13" s="12">
        <v>1929845</v>
      </c>
      <c r="E13" s="12">
        <v>181066</v>
      </c>
      <c r="F13" s="12">
        <v>912745</v>
      </c>
      <c r="G13" s="12">
        <v>1371804</v>
      </c>
      <c r="H13" s="8">
        <v>47676</v>
      </c>
      <c r="I13" s="1">
        <v>0.11070000000000001</v>
      </c>
      <c r="J13" s="1">
        <f>C13/AVERAGE(E13,E14)</f>
        <v>0.10730809830967493</v>
      </c>
      <c r="K13" s="1">
        <f>C13/AVERAGE(D13,D14)</f>
        <v>1.0238424488124086E-2</v>
      </c>
      <c r="L13" s="1">
        <v>2.7300000000000001E-2</v>
      </c>
      <c r="M13" s="1">
        <v>0.66</v>
      </c>
      <c r="N13" s="1">
        <f t="shared" si="0"/>
        <v>0.66536108656921833</v>
      </c>
      <c r="O13" s="3">
        <v>1.25</v>
      </c>
    </row>
    <row r="14" spans="1:16" x14ac:dyDescent="0.3">
      <c r="A14" t="s">
        <v>17</v>
      </c>
      <c r="B14">
        <v>2023</v>
      </c>
      <c r="C14" s="12">
        <v>19142</v>
      </c>
      <c r="D14" s="12">
        <v>1932468</v>
      </c>
      <c r="E14" s="12">
        <v>187443</v>
      </c>
      <c r="F14" s="12">
        <v>936682</v>
      </c>
      <c r="G14" s="12">
        <v>1358173</v>
      </c>
      <c r="H14" s="8">
        <v>52375</v>
      </c>
      <c r="I14" s="1">
        <v>0.1143</v>
      </c>
      <c r="J14" s="1">
        <f>C14/AVERAGE(E14,E15)</f>
        <v>0.10390301227544992</v>
      </c>
      <c r="K14" s="1">
        <f>C14/AVERAGE(D14,D15)</f>
        <v>1.0039113839208452E-2</v>
      </c>
      <c r="L14" s="1">
        <v>3.0600000000000002E-2</v>
      </c>
      <c r="M14" s="1">
        <v>0.67</v>
      </c>
      <c r="N14" s="1">
        <f t="shared" si="0"/>
        <v>0.68966324614021923</v>
      </c>
      <c r="O14" s="3">
        <v>1.25</v>
      </c>
    </row>
    <row r="15" spans="1:16" x14ac:dyDescent="0.3">
      <c r="A15" t="s">
        <v>17</v>
      </c>
      <c r="B15">
        <v>2022</v>
      </c>
      <c r="C15" s="12">
        <v>13182</v>
      </c>
      <c r="D15" s="12">
        <v>1881016</v>
      </c>
      <c r="E15" s="12">
        <v>181016</v>
      </c>
      <c r="F15" s="12">
        <v>955871</v>
      </c>
      <c r="G15" s="12">
        <v>1383985</v>
      </c>
      <c r="H15" s="8">
        <v>44950</v>
      </c>
      <c r="I15" s="1">
        <v>0.106</v>
      </c>
      <c r="J15" s="1">
        <f>C15/AVERAGE(E15,E16)</f>
        <v>7.1037868540603455E-2</v>
      </c>
      <c r="K15" s="1">
        <f>C15/AVERAGE(D15,D16)</f>
        <v>6.8851976086186668E-3</v>
      </c>
      <c r="L15" s="1">
        <v>2.46E-2</v>
      </c>
      <c r="M15" s="1">
        <v>0.77</v>
      </c>
      <c r="N15" s="1">
        <f t="shared" si="0"/>
        <v>0.69066572253311997</v>
      </c>
      <c r="O15" s="3">
        <v>1.22</v>
      </c>
    </row>
    <row r="16" spans="1:16" x14ac:dyDescent="0.3">
      <c r="A16" t="s">
        <v>17</v>
      </c>
      <c r="B16">
        <v>2021</v>
      </c>
      <c r="C16" s="12">
        <v>21548</v>
      </c>
      <c r="D16" s="12">
        <v>1948068</v>
      </c>
      <c r="E16" s="12">
        <v>190110</v>
      </c>
      <c r="F16" s="12">
        <v>895394</v>
      </c>
      <c r="G16" s="12">
        <v>1482479</v>
      </c>
      <c r="H16" s="8">
        <v>35779</v>
      </c>
      <c r="I16" s="1">
        <v>0.11349999999999999</v>
      </c>
      <c r="J16" s="1">
        <f>C16/AVERAGE(E16,185712)</f>
        <v>0.11467130716136895</v>
      </c>
      <c r="K16" s="1">
        <f>C16/AVERAGE(D16,1952911)</f>
        <v>1.1047483208702226E-2</v>
      </c>
      <c r="L16" s="1">
        <v>2.0299999999999999E-2</v>
      </c>
      <c r="M16" s="1">
        <v>0.69</v>
      </c>
      <c r="N16" s="1">
        <f t="shared" si="0"/>
        <v>0.6039842722898604</v>
      </c>
      <c r="O16" s="3">
        <v>1.18</v>
      </c>
    </row>
    <row r="17" spans="1:15" x14ac:dyDescent="0.3">
      <c r="A17" t="s">
        <v>18</v>
      </c>
      <c r="B17">
        <v>2025</v>
      </c>
      <c r="C17" s="12">
        <v>14306</v>
      </c>
      <c r="D17" s="12">
        <v>2657202</v>
      </c>
      <c r="E17" s="12">
        <v>212291</v>
      </c>
      <c r="F17" s="12">
        <v>752230</v>
      </c>
      <c r="G17" s="12">
        <v>1403573</v>
      </c>
      <c r="H17" s="8">
        <v>59792</v>
      </c>
      <c r="I17" s="1">
        <v>0.1318</v>
      </c>
      <c r="J17" s="1">
        <f>C17/AVERAGE(E17,E18)</f>
        <v>6.7979918695903196E-2</v>
      </c>
      <c r="K17" s="1">
        <f>C17/AVERAGE(D17,D18)</f>
        <v>5.7108104812094336E-3</v>
      </c>
      <c r="L17" s="1">
        <v>2.4700000000000003E-2</v>
      </c>
      <c r="M17" s="1">
        <v>0.64700000000000002</v>
      </c>
      <c r="N17" s="1">
        <f t="shared" si="0"/>
        <v>0.53593934907553797</v>
      </c>
      <c r="O17" s="3">
        <v>1.1499999999999999</v>
      </c>
    </row>
    <row r="18" spans="1:15" x14ac:dyDescent="0.3">
      <c r="A18" t="s">
        <v>18</v>
      </c>
      <c r="B18">
        <v>2024</v>
      </c>
      <c r="C18" s="12">
        <v>12682</v>
      </c>
      <c r="D18" s="12">
        <v>2352945</v>
      </c>
      <c r="E18" s="12">
        <v>208598</v>
      </c>
      <c r="F18" s="12">
        <v>694488</v>
      </c>
      <c r="G18" s="12">
        <v>1284458</v>
      </c>
      <c r="H18" s="8">
        <v>54095</v>
      </c>
      <c r="I18" s="1">
        <v>0.1363</v>
      </c>
      <c r="J18" s="1">
        <f>C18/AVERAGE(E18,E19)</f>
        <v>6.1258154188735203E-2</v>
      </c>
      <c r="K18" s="1">
        <f>C18/AVERAGE(D18,D19)</f>
        <v>5.3232269534431711E-3</v>
      </c>
      <c r="L18" s="1">
        <v>2.4E-2</v>
      </c>
      <c r="M18" s="1">
        <v>0.66400000000000003</v>
      </c>
      <c r="N18" s="1">
        <f t="shared" si="0"/>
        <v>0.54068564328300339</v>
      </c>
      <c r="O18" s="3">
        <v>1.1599999999999999</v>
      </c>
    </row>
    <row r="19" spans="1:15" x14ac:dyDescent="0.3">
      <c r="A19" t="s">
        <v>18</v>
      </c>
      <c r="B19">
        <v>2023</v>
      </c>
      <c r="C19" s="12">
        <v>9228</v>
      </c>
      <c r="D19" s="12">
        <v>2411834</v>
      </c>
      <c r="E19" s="12">
        <v>205453</v>
      </c>
      <c r="F19" s="12">
        <v>689362</v>
      </c>
      <c r="G19" s="12">
        <v>1308681</v>
      </c>
      <c r="H19" s="8">
        <v>54900</v>
      </c>
      <c r="I19" s="1">
        <v>0.13370000000000001</v>
      </c>
      <c r="J19" s="1">
        <f>C19/AVERAGE(E19,E20)</f>
        <v>4.5386359500494293E-2</v>
      </c>
      <c r="K19" s="1">
        <f>C19/AVERAGE(D19,D20)</f>
        <v>3.8222971475672619E-3</v>
      </c>
      <c r="L19" s="1">
        <v>2.46E-2</v>
      </c>
      <c r="M19" s="1">
        <v>0.71699999999999997</v>
      </c>
      <c r="N19" s="1">
        <f t="shared" si="0"/>
        <v>0.52676091423349158</v>
      </c>
      <c r="O19" s="3">
        <v>1.1599999999999999</v>
      </c>
    </row>
    <row r="20" spans="1:15" x14ac:dyDescent="0.3">
      <c r="A20" t="s">
        <v>18</v>
      </c>
      <c r="B20">
        <v>2022</v>
      </c>
      <c r="C20" s="12">
        <v>14845</v>
      </c>
      <c r="D20" s="12">
        <v>2416676</v>
      </c>
      <c r="E20" s="12">
        <v>201189</v>
      </c>
      <c r="F20" s="12">
        <v>657221</v>
      </c>
      <c r="G20" s="12">
        <v>1365954</v>
      </c>
      <c r="H20" s="8">
        <v>48688</v>
      </c>
      <c r="I20" s="1">
        <v>0.1303</v>
      </c>
      <c r="J20" s="1">
        <f>C20/AVERAGE(E20,E21)</f>
        <v>7.3643035908731252E-2</v>
      </c>
      <c r="K20" s="1">
        <f>C20/AVERAGE(D20,D21)</f>
        <v>6.3061679590169176E-3</v>
      </c>
      <c r="L20" s="1">
        <v>2.2499999999999999E-2</v>
      </c>
      <c r="M20" s="1">
        <v>0.67900000000000005</v>
      </c>
      <c r="N20" s="1">
        <f t="shared" si="0"/>
        <v>0.48114431379094758</v>
      </c>
      <c r="O20" s="3">
        <v>1.18</v>
      </c>
    </row>
    <row r="21" spans="1:15" x14ac:dyDescent="0.3">
      <c r="A21" t="s">
        <v>18</v>
      </c>
      <c r="B21">
        <v>2021</v>
      </c>
      <c r="C21" s="12">
        <v>21952</v>
      </c>
      <c r="D21" s="12">
        <v>2291413</v>
      </c>
      <c r="E21" s="12">
        <v>201972</v>
      </c>
      <c r="F21" s="12">
        <v>667767</v>
      </c>
      <c r="G21" s="12">
        <v>1317230</v>
      </c>
      <c r="H21" s="8">
        <v>42494</v>
      </c>
      <c r="I21" s="1">
        <v>0.1225</v>
      </c>
      <c r="J21" s="1">
        <f>C21/AVERAGE(E21,199442)</f>
        <v>0.10937336515417997</v>
      </c>
      <c r="K21" s="1">
        <f>C21/AVERAGE(D21,2260090)</f>
        <v>9.6460443945659263E-3</v>
      </c>
      <c r="L21" s="1">
        <v>1.9900000000000001E-2</v>
      </c>
      <c r="M21" s="1">
        <v>0.66900000000000004</v>
      </c>
      <c r="N21" s="1">
        <f t="shared" si="0"/>
        <v>0.50694791342438295</v>
      </c>
      <c r="O21" s="3">
        <v>1.1499999999999999</v>
      </c>
    </row>
    <row r="22" spans="1:15" x14ac:dyDescent="0.3">
      <c r="A22" t="s">
        <v>19</v>
      </c>
      <c r="B22">
        <v>2025</v>
      </c>
      <c r="C22" s="12">
        <v>17176</v>
      </c>
      <c r="D22" s="12">
        <v>1809320</v>
      </c>
      <c r="E22" s="12">
        <v>124972</v>
      </c>
      <c r="F22" s="12">
        <v>239882</v>
      </c>
      <c r="G22" s="12">
        <v>501422</v>
      </c>
      <c r="H22" s="8">
        <v>13559</v>
      </c>
      <c r="I22" s="1">
        <v>0.15</v>
      </c>
      <c r="J22" s="1">
        <f>C22/AVERAGE(E22,E23)</f>
        <v>0.13909494347445822</v>
      </c>
      <c r="K22" s="1">
        <f>C22/AVERAGE(D22,D23)</f>
        <v>9.8562760308175037E-3</v>
      </c>
      <c r="L22" t="s">
        <v>20</v>
      </c>
      <c r="M22" s="1">
        <v>0.64400000000000002</v>
      </c>
      <c r="N22" s="1">
        <f t="shared" si="0"/>
        <v>0.47840342067160996</v>
      </c>
      <c r="O22" s="3">
        <v>1.22</v>
      </c>
    </row>
    <row r="23" spans="1:15" x14ac:dyDescent="0.3">
      <c r="A23" t="s">
        <v>19</v>
      </c>
      <c r="B23">
        <v>2024</v>
      </c>
      <c r="C23" s="12">
        <v>14276</v>
      </c>
      <c r="D23" s="12">
        <v>1675972</v>
      </c>
      <c r="E23" s="12">
        <v>121996</v>
      </c>
      <c r="F23" s="12">
        <v>200866</v>
      </c>
      <c r="G23" s="12">
        <v>433013</v>
      </c>
      <c r="H23" s="8">
        <v>8056</v>
      </c>
      <c r="I23" s="1">
        <v>0.15</v>
      </c>
      <c r="J23" s="1">
        <f>C23/AVERAGE(E23,E24)</f>
        <v>0.1195139409211347</v>
      </c>
      <c r="K23" s="1">
        <f>C23/AVERAGE(D23,D24)</f>
        <v>8.6063095655067607E-3</v>
      </c>
      <c r="L23" s="1">
        <v>2.7300000000000001E-2</v>
      </c>
      <c r="M23" s="1">
        <v>0.63100000000000001</v>
      </c>
      <c r="N23" s="1">
        <f t="shared" si="0"/>
        <v>0.46387983732590016</v>
      </c>
      <c r="O23" s="3">
        <v>1.29</v>
      </c>
    </row>
    <row r="24" spans="1:15" x14ac:dyDescent="0.3">
      <c r="A24" t="s">
        <v>19</v>
      </c>
      <c r="B24">
        <v>2023</v>
      </c>
      <c r="C24" s="12">
        <v>8516</v>
      </c>
      <c r="D24" s="12">
        <v>1641594</v>
      </c>
      <c r="E24" s="12">
        <v>116905</v>
      </c>
      <c r="F24" s="12">
        <v>183358</v>
      </c>
      <c r="G24" s="12">
        <v>428417</v>
      </c>
      <c r="H24" s="8">
        <v>6351</v>
      </c>
      <c r="I24" s="1">
        <v>0.14400000000000002</v>
      </c>
      <c r="J24" s="1">
        <f>C24/AVERAGE(E24,E25)</f>
        <v>7.2757097576187341E-2</v>
      </c>
      <c r="K24" s="1">
        <f>C24/AVERAGE(D24,D25)</f>
        <v>5.5237849991875837E-3</v>
      </c>
      <c r="L24" s="1">
        <v>2.2499999999999999E-2</v>
      </c>
      <c r="M24" s="1">
        <v>0.746</v>
      </c>
      <c r="N24" s="1">
        <f t="shared" si="0"/>
        <v>0.42798955223532215</v>
      </c>
      <c r="O24" s="3">
        <v>1.28</v>
      </c>
    </row>
    <row r="25" spans="1:15" x14ac:dyDescent="0.3">
      <c r="A25" t="s">
        <v>19</v>
      </c>
      <c r="B25">
        <v>2022</v>
      </c>
      <c r="C25" s="12">
        <v>11261</v>
      </c>
      <c r="D25" s="12">
        <v>1441799</v>
      </c>
      <c r="E25" s="12">
        <v>117189</v>
      </c>
      <c r="F25" s="12">
        <v>179286</v>
      </c>
      <c r="G25" s="12">
        <v>386665</v>
      </c>
      <c r="H25" s="8">
        <v>7678</v>
      </c>
      <c r="I25" s="1">
        <v>0.15</v>
      </c>
      <c r="J25" s="1">
        <f>C25/AVERAGE(E25,E26)</f>
        <v>9.9165620940933008E-2</v>
      </c>
      <c r="K25" s="1">
        <f>C25/AVERAGE(D25,D26)</f>
        <v>7.750740160927143E-3</v>
      </c>
      <c r="L25" s="1">
        <v>2.46E-2</v>
      </c>
      <c r="M25" s="1">
        <v>0.65799999999999992</v>
      </c>
      <c r="N25" s="1">
        <f t="shared" si="0"/>
        <v>0.46367268824434588</v>
      </c>
      <c r="O25" s="3">
        <v>1.26</v>
      </c>
    </row>
    <row r="26" spans="1:15" x14ac:dyDescent="0.3">
      <c r="A26" t="s">
        <v>19</v>
      </c>
      <c r="B26">
        <v>2021</v>
      </c>
      <c r="C26" s="12">
        <v>21635</v>
      </c>
      <c r="D26" s="12">
        <v>1463988</v>
      </c>
      <c r="E26" s="12">
        <v>109926</v>
      </c>
      <c r="F26" s="12">
        <v>158562</v>
      </c>
      <c r="G26" s="12">
        <v>364227</v>
      </c>
      <c r="H26" s="8">
        <v>6470</v>
      </c>
      <c r="I26" s="1">
        <v>0.14199999999999999</v>
      </c>
      <c r="J26" s="1">
        <f>C26/AVERAGE(E26,95932)</f>
        <v>0.21019343430908685</v>
      </c>
      <c r="K26" s="1">
        <f>C26/AVERAGE(D26,1163028)</f>
        <v>1.6471159673180521E-2</v>
      </c>
      <c r="L26" s="1">
        <v>1.9900000000000001E-2</v>
      </c>
      <c r="M26" s="1">
        <v>0.53799999999999992</v>
      </c>
      <c r="N26" s="1">
        <f t="shared" si="0"/>
        <v>0.43533840160119924</v>
      </c>
      <c r="O26" s="3">
        <v>1.23</v>
      </c>
    </row>
    <row r="27" spans="1:15" x14ac:dyDescent="0.3">
      <c r="A27" t="s">
        <v>21</v>
      </c>
      <c r="B27">
        <v>2025</v>
      </c>
      <c r="C27" s="12">
        <v>17025</v>
      </c>
      <c r="D27" s="12">
        <v>1420270</v>
      </c>
      <c r="E27" s="12">
        <v>112652</v>
      </c>
      <c r="F27" s="12">
        <v>289038</v>
      </c>
      <c r="G27" s="12">
        <v>415523</v>
      </c>
      <c r="H27" s="8">
        <v>10046</v>
      </c>
      <c r="I27" s="1">
        <v>0.15</v>
      </c>
      <c r="J27" s="1">
        <f>C27/AVERAGE(E27,E28)</f>
        <v>0.1561353631694791</v>
      </c>
      <c r="K27" s="1">
        <f>C27/AVERAGE(D27,D28)</f>
        <v>1.2920529070052035E-2</v>
      </c>
      <c r="L27" s="1">
        <v>2.5000000000000001E-2</v>
      </c>
      <c r="M27" s="1">
        <v>0.68</v>
      </c>
      <c r="N27" s="1">
        <f t="shared" si="0"/>
        <v>0.69560048420905707</v>
      </c>
      <c r="O27" s="3">
        <v>1.34</v>
      </c>
    </row>
    <row r="28" spans="1:15" x14ac:dyDescent="0.3">
      <c r="A28" t="s">
        <v>21</v>
      </c>
      <c r="B28">
        <v>2024</v>
      </c>
      <c r="C28" s="12">
        <v>13529</v>
      </c>
      <c r="D28" s="12">
        <v>1215071</v>
      </c>
      <c r="E28" s="12">
        <v>105428</v>
      </c>
      <c r="F28" s="12">
        <v>246814</v>
      </c>
      <c r="G28" s="12">
        <v>376007</v>
      </c>
      <c r="H28" s="8">
        <v>8611</v>
      </c>
      <c r="I28" s="1">
        <v>0.159</v>
      </c>
      <c r="J28" s="1">
        <f>C28/AVERAGE(E28,E29)</f>
        <v>0.13172679032179543</v>
      </c>
      <c r="K28" s="1">
        <f>C28/AVERAGE(D28,D29)</f>
        <v>1.1233146958357067E-2</v>
      </c>
      <c r="L28" s="1">
        <v>2.6000000000000002E-2</v>
      </c>
      <c r="M28" s="1">
        <v>0.71</v>
      </c>
      <c r="N28" s="1">
        <f t="shared" si="0"/>
        <v>0.65640799240439673</v>
      </c>
      <c r="O28" s="3">
        <v>1.3</v>
      </c>
    </row>
    <row r="29" spans="1:15" x14ac:dyDescent="0.3">
      <c r="A29" t="s">
        <v>21</v>
      </c>
      <c r="B29">
        <v>2023</v>
      </c>
      <c r="C29" s="12">
        <v>9230</v>
      </c>
      <c r="D29" s="12">
        <v>1193693</v>
      </c>
      <c r="E29" s="12">
        <v>99982</v>
      </c>
      <c r="F29" s="12" t="s">
        <v>20</v>
      </c>
      <c r="G29" s="12" t="s">
        <v>20</v>
      </c>
      <c r="H29" s="8">
        <v>8230</v>
      </c>
      <c r="I29" s="1">
        <v>0.155</v>
      </c>
      <c r="J29" s="1">
        <f>C29/AVERAGE(E29,E30)</f>
        <v>9.1743575216313059E-2</v>
      </c>
      <c r="K29" s="1">
        <f>C29/AVERAGE(D29,D30)</f>
        <v>7.7761545862462316E-3</v>
      </c>
      <c r="L29" s="1">
        <v>2.7000000000000003E-2</v>
      </c>
      <c r="M29" s="1">
        <v>0.77</v>
      </c>
      <c r="N29" s="1" t="s">
        <v>20</v>
      </c>
      <c r="O29" s="3">
        <v>1.29</v>
      </c>
    </row>
    <row r="30" spans="1:15" x14ac:dyDescent="0.3">
      <c r="A30" t="s">
        <v>21</v>
      </c>
      <c r="B30">
        <v>2022</v>
      </c>
      <c r="C30" s="12">
        <v>11179</v>
      </c>
      <c r="D30" s="12">
        <v>1180231</v>
      </c>
      <c r="E30" s="12">
        <v>101231</v>
      </c>
      <c r="F30" s="12" t="s">
        <v>20</v>
      </c>
      <c r="G30" s="12">
        <v>356646</v>
      </c>
      <c r="H30" s="8">
        <v>9327</v>
      </c>
      <c r="I30" s="1">
        <v>0.153</v>
      </c>
      <c r="J30" s="1">
        <f>C30/AVERAGE(E30,E31)</f>
        <v>0.10757882682397547</v>
      </c>
      <c r="K30" s="1">
        <f>C30/AVERAGE(D30,D31)</f>
        <v>9.4402439482665513E-3</v>
      </c>
      <c r="L30" s="1">
        <v>2.6000000000000002E-2</v>
      </c>
      <c r="M30" s="1">
        <v>0.73</v>
      </c>
      <c r="N30" s="1" t="s">
        <v>20</v>
      </c>
      <c r="O30" s="3">
        <v>1.32</v>
      </c>
    </row>
    <row r="31" spans="1:15" x14ac:dyDescent="0.3">
      <c r="A31" t="s">
        <v>21</v>
      </c>
      <c r="B31">
        <v>2021</v>
      </c>
      <c r="C31" s="12">
        <v>15120</v>
      </c>
      <c r="D31" s="12">
        <v>1188140</v>
      </c>
      <c r="E31" s="12">
        <v>106598</v>
      </c>
      <c r="F31" s="12">
        <v>200761</v>
      </c>
      <c r="G31" s="12">
        <v>647574</v>
      </c>
      <c r="H31" s="8">
        <v>8045</v>
      </c>
      <c r="I31" s="1">
        <v>0.16</v>
      </c>
      <c r="J31" s="1">
        <f>C31/AVERAGE(E31,1115862)</f>
        <v>2.4737005709798275E-2</v>
      </c>
      <c r="K31" s="1">
        <f>C31/AVERAGE(D31,103149)</f>
        <v>2.341846015880256E-2</v>
      </c>
      <c r="L31" s="1">
        <v>2.4E-2</v>
      </c>
      <c r="M31" s="1">
        <v>0.67</v>
      </c>
      <c r="N31" s="1">
        <f t="shared" si="0"/>
        <v>0.31002016757930367</v>
      </c>
      <c r="O31" s="3">
        <v>1.34</v>
      </c>
    </row>
    <row r="32" spans="1:15" x14ac:dyDescent="0.3">
      <c r="A32" t="s">
        <v>22</v>
      </c>
      <c r="B32">
        <v>2025</v>
      </c>
      <c r="C32" s="12">
        <v>7596</v>
      </c>
      <c r="D32" s="12">
        <v>692345</v>
      </c>
      <c r="E32" s="12">
        <v>65651</v>
      </c>
      <c r="F32" s="12">
        <v>391335</v>
      </c>
      <c r="G32" s="12">
        <v>522216</v>
      </c>
      <c r="H32" s="8">
        <v>16649</v>
      </c>
      <c r="I32" s="1">
        <v>0.10800000000000001</v>
      </c>
      <c r="J32" s="1">
        <f>C32/AVERAGE(E32,E33)</f>
        <v>0.1218371815126994</v>
      </c>
      <c r="K32" s="1">
        <f>C32/AVERAGE(D32,D33)</f>
        <v>1.1083687237490179E-2</v>
      </c>
      <c r="L32" s="1">
        <v>2.7200000000000002E-2</v>
      </c>
      <c r="M32" s="1">
        <v>0.58599999999999997</v>
      </c>
      <c r="N32" s="1">
        <f t="shared" si="0"/>
        <v>0.74937382232639371</v>
      </c>
      <c r="O32" s="3">
        <v>1.0649999999999999</v>
      </c>
    </row>
    <row r="33" spans="1:15" x14ac:dyDescent="0.3">
      <c r="A33" t="s">
        <v>22</v>
      </c>
      <c r="B33">
        <v>2024</v>
      </c>
      <c r="C33" s="12">
        <v>6329</v>
      </c>
      <c r="D33" s="12">
        <v>678318</v>
      </c>
      <c r="E33" s="12">
        <v>59040</v>
      </c>
      <c r="F33" s="12">
        <v>379832</v>
      </c>
      <c r="G33" s="12">
        <v>218309</v>
      </c>
      <c r="H33" s="8">
        <v>16289</v>
      </c>
      <c r="I33" s="1">
        <v>1.6E-2</v>
      </c>
      <c r="J33" s="1">
        <f>C33/AVERAGE(E33,E34)</f>
        <v>0.11009254105204565</v>
      </c>
      <c r="K33" s="1">
        <f>C33/AVERAGE(D33,D34)</f>
        <v>9.4335333866444483E-3</v>
      </c>
      <c r="L33" s="1">
        <v>2.7000000000000003E-2</v>
      </c>
      <c r="M33" s="1">
        <v>0.623</v>
      </c>
      <c r="N33" s="1">
        <f t="shared" si="0"/>
        <v>1.7398824601825853</v>
      </c>
      <c r="O33" s="3">
        <v>1.0659999999999998</v>
      </c>
    </row>
    <row r="34" spans="1:15" x14ac:dyDescent="0.3">
      <c r="A34" t="s">
        <v>22</v>
      </c>
      <c r="B34">
        <v>2023</v>
      </c>
      <c r="C34" s="12">
        <v>5458</v>
      </c>
      <c r="D34" s="12">
        <v>663491</v>
      </c>
      <c r="E34" s="12">
        <v>55936</v>
      </c>
      <c r="F34" s="12">
        <v>373835</v>
      </c>
      <c r="G34" s="12">
        <v>512312</v>
      </c>
      <c r="H34" s="8">
        <v>17396</v>
      </c>
      <c r="I34" s="1">
        <v>9.9000000000000005E-2</v>
      </c>
      <c r="J34" s="1">
        <f>C34/AVERAGE(E34,E35)</f>
        <v>0.10219251437023723</v>
      </c>
      <c r="K34" s="1">
        <f>C34/AVERAGE(D34,D35)</f>
        <v>8.6935745914434072E-3</v>
      </c>
      <c r="L34" s="1">
        <v>2.8999999999999998E-2</v>
      </c>
      <c r="M34" s="1">
        <v>0.66700000000000004</v>
      </c>
      <c r="N34" s="1">
        <f t="shared" si="0"/>
        <v>0.72970182232701952</v>
      </c>
      <c r="O34" s="3">
        <v>1.0900000000000001</v>
      </c>
    </row>
    <row r="35" spans="1:15" x14ac:dyDescent="0.3">
      <c r="A35" t="s">
        <v>22</v>
      </c>
      <c r="B35">
        <v>2022</v>
      </c>
      <c r="C35" s="12">
        <v>5795</v>
      </c>
      <c r="D35" s="12">
        <v>592149</v>
      </c>
      <c r="E35" s="12">
        <v>50882</v>
      </c>
      <c r="F35" s="12">
        <v>387318</v>
      </c>
      <c r="G35" s="12">
        <v>511697</v>
      </c>
      <c r="H35" s="8">
        <v>14846</v>
      </c>
      <c r="I35" s="1">
        <v>9.3000000000000013E-2</v>
      </c>
      <c r="J35" s="1">
        <f>C35/AVERAGE(E35,E36)</f>
        <v>0.11004139607306977</v>
      </c>
      <c r="K35" s="1">
        <f>C35/AVERAGE(D35,D36)</f>
        <v>1.3392140119454655E-2</v>
      </c>
      <c r="L35" s="1">
        <v>2.7200000000000002E-2</v>
      </c>
      <c r="M35" s="1">
        <v>0.61399999999999999</v>
      </c>
      <c r="N35" s="1">
        <f t="shared" si="0"/>
        <v>0.7569284166215553</v>
      </c>
      <c r="O35" s="3">
        <v>1.1100000000000001</v>
      </c>
    </row>
    <row r="36" spans="1:15" x14ac:dyDescent="0.3">
      <c r="A36" t="s">
        <v>22</v>
      </c>
      <c r="B36">
        <v>2021</v>
      </c>
      <c r="C36" s="12">
        <v>7963</v>
      </c>
      <c r="D36" s="12">
        <v>273284</v>
      </c>
      <c r="E36" s="12">
        <v>54442</v>
      </c>
      <c r="F36" s="12">
        <v>312028</v>
      </c>
      <c r="G36" s="12">
        <v>475399</v>
      </c>
      <c r="H36" s="8">
        <v>12600</v>
      </c>
      <c r="I36" s="1">
        <v>0.1</v>
      </c>
      <c r="J36" s="1">
        <f>C36/AVERAGE(E36,53095)</f>
        <v>0.14809786399099845</v>
      </c>
      <c r="K36" s="1">
        <f>C36/AVERAGE(D36,553905)</f>
        <v>1.9253157379994171E-2</v>
      </c>
      <c r="L36" s="1">
        <v>2.4900000000000002E-2</v>
      </c>
      <c r="M36" s="1">
        <v>0.60399999999999998</v>
      </c>
      <c r="N36" s="1">
        <f t="shared" si="0"/>
        <v>0.65634971886773008</v>
      </c>
      <c r="O36" s="3">
        <v>1.1499999999999999</v>
      </c>
    </row>
    <row r="37" spans="1:15" ht="28.8" x14ac:dyDescent="0.3">
      <c r="A37" s="9" t="s">
        <v>23</v>
      </c>
      <c r="B37">
        <v>2025</v>
      </c>
      <c r="C37" s="12">
        <v>6997</v>
      </c>
      <c r="D37" s="12">
        <v>573572</v>
      </c>
      <c r="E37" s="12">
        <v>60585</v>
      </c>
      <c r="F37" s="12">
        <v>331481</v>
      </c>
      <c r="G37" s="12">
        <v>440866</v>
      </c>
      <c r="H37" s="8">
        <v>14410</v>
      </c>
      <c r="I37" s="1">
        <v>0.106</v>
      </c>
      <c r="J37" s="1">
        <f>C37/AVERAGE(E37,E38)</f>
        <v>0.1216763759673072</v>
      </c>
      <c r="K37" s="1">
        <f>C37/AVERAGE(D37,D38)</f>
        <v>1.2344633515935816E-2</v>
      </c>
      <c r="L37" s="1">
        <v>2.8300000000000002E-2</v>
      </c>
      <c r="M37" s="1">
        <v>0.6</v>
      </c>
      <c r="N37" s="1">
        <f t="shared" si="0"/>
        <v>0.75188606061705821</v>
      </c>
      <c r="O37" s="3">
        <v>1.07</v>
      </c>
    </row>
    <row r="38" spans="1:15" ht="28.8" x14ac:dyDescent="0.3">
      <c r="A38" s="9" t="s">
        <v>23</v>
      </c>
      <c r="B38">
        <v>2024</v>
      </c>
      <c r="C38" s="12">
        <v>5953</v>
      </c>
      <c r="D38" s="12">
        <v>560038</v>
      </c>
      <c r="E38" s="12">
        <v>54425</v>
      </c>
      <c r="F38" s="12">
        <v>316467</v>
      </c>
      <c r="G38" s="12">
        <v>426738</v>
      </c>
      <c r="H38" s="8">
        <v>13499</v>
      </c>
      <c r="I38" s="1">
        <v>0.105</v>
      </c>
      <c r="J38" s="1">
        <f>C38/AVERAGE(E38,E39)</f>
        <v>0.11278252467650569</v>
      </c>
      <c r="K38" s="1">
        <f>C38/AVERAGE(D38,D39)</f>
        <v>1.0615022226818756E-2</v>
      </c>
      <c r="L38" s="1">
        <v>2.6600000000000002E-2</v>
      </c>
      <c r="M38" s="1">
        <v>0.63</v>
      </c>
      <c r="N38" s="1">
        <f t="shared" si="0"/>
        <v>0.74159554574469577</v>
      </c>
      <c r="O38" s="3">
        <v>1.07</v>
      </c>
    </row>
    <row r="39" spans="1:15" ht="28.8" x14ac:dyDescent="0.3">
      <c r="A39" s="9" t="s">
        <v>23</v>
      </c>
      <c r="B39">
        <v>2023</v>
      </c>
      <c r="C39" s="12">
        <v>5647</v>
      </c>
      <c r="D39" s="12">
        <v>561580</v>
      </c>
      <c r="E39" s="12">
        <v>51141</v>
      </c>
      <c r="F39" s="12">
        <v>321508</v>
      </c>
      <c r="G39" s="12">
        <v>421418</v>
      </c>
      <c r="H39" s="8">
        <v>13916</v>
      </c>
      <c r="I39" s="1">
        <v>9.9000000000000005E-2</v>
      </c>
      <c r="J39" s="1">
        <f>C39/AVERAGE(E39,E40)</f>
        <v>0.11648943302424886</v>
      </c>
      <c r="K39" s="1">
        <f>C39/AVERAGE(D39,D40)</f>
        <v>1.0090604587499408E-2</v>
      </c>
      <c r="L39" s="1">
        <v>2.76E-2</v>
      </c>
      <c r="M39" s="1">
        <v>0.65</v>
      </c>
      <c r="N39" s="1">
        <f t="shared" si="0"/>
        <v>0.76291947662415938</v>
      </c>
      <c r="O39" s="3">
        <v>1.07</v>
      </c>
    </row>
    <row r="40" spans="1:15" ht="28.8" x14ac:dyDescent="0.3">
      <c r="A40" s="9" t="s">
        <v>23</v>
      </c>
      <c r="B40">
        <v>2022</v>
      </c>
      <c r="C40" s="12">
        <v>6097</v>
      </c>
      <c r="D40" s="12">
        <v>557679</v>
      </c>
      <c r="E40" s="12">
        <v>45812</v>
      </c>
      <c r="F40" s="12">
        <v>326025</v>
      </c>
      <c r="G40" s="12">
        <v>436282</v>
      </c>
      <c r="H40" s="8">
        <v>13014</v>
      </c>
      <c r="I40" s="1">
        <v>9.0999999999999998E-2</v>
      </c>
      <c r="J40" s="1">
        <f>C40/AVERAGE(E40,E41)</f>
        <v>0.12009297011956115</v>
      </c>
      <c r="K40" s="1">
        <f>C40/AVERAGE(D40,D41)</f>
        <v>1.0936587702123728E-2</v>
      </c>
      <c r="L40" s="1">
        <v>2.6499999999999999E-2</v>
      </c>
      <c r="M40" s="1">
        <v>0.62</v>
      </c>
      <c r="N40" s="1">
        <f t="shared" si="0"/>
        <v>0.7472804287135385</v>
      </c>
      <c r="O40" s="3">
        <v>1.08</v>
      </c>
    </row>
    <row r="41" spans="1:15" ht="28.8" x14ac:dyDescent="0.3">
      <c r="A41" s="9" t="s">
        <v>23</v>
      </c>
      <c r="B41">
        <v>2021</v>
      </c>
      <c r="C41" s="12">
        <v>6010</v>
      </c>
      <c r="D41" s="12">
        <v>557294</v>
      </c>
      <c r="E41" s="12">
        <v>55726</v>
      </c>
      <c r="F41" s="12">
        <v>288372</v>
      </c>
      <c r="G41" s="12">
        <v>457278</v>
      </c>
      <c r="H41" s="8">
        <v>10647</v>
      </c>
      <c r="I41" s="1">
        <v>0.10300000000000001</v>
      </c>
      <c r="J41" s="1">
        <f>C41/AVERAGE(E41,54041)</f>
        <v>0.1095046780908652</v>
      </c>
      <c r="K41" s="1">
        <f>C41/AVERAGE(D41,466679)</f>
        <v>1.1738590763623651E-2</v>
      </c>
      <c r="L41" s="1">
        <v>2.29E-2</v>
      </c>
      <c r="M41" s="1">
        <v>0.68</v>
      </c>
      <c r="N41" s="1">
        <f t="shared" si="0"/>
        <v>0.63062732079828898</v>
      </c>
      <c r="O41" s="3">
        <v>1.1000000000000001</v>
      </c>
    </row>
    <row r="42" spans="1:15" x14ac:dyDescent="0.3">
      <c r="A42" s="9" t="s">
        <v>25</v>
      </c>
      <c r="B42">
        <v>2025</v>
      </c>
      <c r="C42" s="12">
        <v>5314</v>
      </c>
      <c r="D42" s="12">
        <v>547538</v>
      </c>
      <c r="E42" s="12">
        <v>65189</v>
      </c>
      <c r="F42" s="12">
        <v>330478</v>
      </c>
      <c r="G42" s="12">
        <v>400398</v>
      </c>
      <c r="H42" s="8">
        <v>14420</v>
      </c>
      <c r="I42" s="1">
        <v>0.10800000000000001</v>
      </c>
      <c r="J42" s="1">
        <f>C42/AVERAGE(E42,E43)</f>
        <v>8.2471986839246364E-2</v>
      </c>
      <c r="K42" s="1">
        <f>C42/AVERAGE(D42,D43)</f>
        <v>9.8524724811210381E-3</v>
      </c>
      <c r="L42" s="1">
        <v>2.7300000000000001E-2</v>
      </c>
      <c r="M42" s="1">
        <v>0.64500000000000002</v>
      </c>
      <c r="N42" s="1">
        <f t="shared" si="0"/>
        <v>0.82537375311564998</v>
      </c>
      <c r="O42" s="3">
        <v>1.1000000000000001</v>
      </c>
    </row>
    <row r="43" spans="1:15" x14ac:dyDescent="0.3">
      <c r="A43" t="s">
        <v>25</v>
      </c>
      <c r="B43">
        <v>2024</v>
      </c>
      <c r="C43" s="12">
        <v>4820</v>
      </c>
      <c r="D43" s="12">
        <v>531176</v>
      </c>
      <c r="E43" s="12">
        <v>63679</v>
      </c>
      <c r="F43" s="12">
        <v>307771</v>
      </c>
      <c r="G43" s="12">
        <v>390524</v>
      </c>
      <c r="H43" s="8">
        <v>14091</v>
      </c>
      <c r="I43" s="1">
        <v>0.115</v>
      </c>
      <c r="J43" s="1">
        <f>C43/AVERAGE(E43,E44)</f>
        <v>7.841733641362704E-2</v>
      </c>
      <c r="K43" s="1">
        <f>C43/AVERAGE(D43,D44)</f>
        <v>9.0387004524038351E-3</v>
      </c>
      <c r="L43" s="1">
        <v>2.75E-2</v>
      </c>
      <c r="M43" s="1">
        <v>0.62</v>
      </c>
      <c r="N43" s="1">
        <f t="shared" si="0"/>
        <v>0.78809753049748543</v>
      </c>
      <c r="O43" s="3">
        <v>1.1100000000000001</v>
      </c>
    </row>
    <row r="44" spans="1:15" x14ac:dyDescent="0.3">
      <c r="A44" t="s">
        <v>25</v>
      </c>
      <c r="B44">
        <v>2023</v>
      </c>
      <c r="C44" s="12">
        <v>1091</v>
      </c>
      <c r="D44" s="12">
        <v>535349</v>
      </c>
      <c r="E44" s="12">
        <v>59253</v>
      </c>
      <c r="F44" s="12">
        <v>313341</v>
      </c>
      <c r="G44" s="12">
        <v>395865</v>
      </c>
      <c r="H44" s="8">
        <v>14600</v>
      </c>
      <c r="I44" s="1">
        <v>0.10099999999999999</v>
      </c>
      <c r="J44" s="1">
        <f>C44/AVERAGE(E44,E45)</f>
        <v>1.821520995074714E-2</v>
      </c>
      <c r="K44" s="1">
        <f>C44/AVERAGE(D44,D45)</f>
        <v>2.0007262030947988E-3</v>
      </c>
      <c r="L44" s="1">
        <v>2.7799999999999998E-2</v>
      </c>
      <c r="M44" s="1">
        <v>0.91799999999999993</v>
      </c>
      <c r="N44" s="1">
        <f t="shared" si="0"/>
        <v>0.79153499299003449</v>
      </c>
      <c r="O44" s="3">
        <v>1.1100000000000001</v>
      </c>
    </row>
    <row r="45" spans="1:15" x14ac:dyDescent="0.3">
      <c r="A45" s="9" t="s">
        <v>25</v>
      </c>
      <c r="B45">
        <v>2022</v>
      </c>
      <c r="C45" s="12">
        <v>6263</v>
      </c>
      <c r="D45" s="12">
        <v>555255</v>
      </c>
      <c r="E45" s="12">
        <v>60537</v>
      </c>
      <c r="F45" s="12">
        <v>327435</v>
      </c>
      <c r="G45" s="12">
        <v>413495</v>
      </c>
      <c r="H45" s="8">
        <v>14316</v>
      </c>
      <c r="I45" s="1">
        <v>0.09</v>
      </c>
      <c r="J45" s="1">
        <f>C45/AVERAGE(E45,E46)</f>
        <v>9.6496363860470849E-2</v>
      </c>
      <c r="K45" s="1">
        <f>C45/AVERAGE(D45,D46)</f>
        <v>1.1423662284221739E-2</v>
      </c>
      <c r="L45" s="1">
        <v>2.7300000000000001E-2</v>
      </c>
      <c r="M45" s="1">
        <v>0.63300000000000001</v>
      </c>
      <c r="N45" s="1">
        <f t="shared" si="0"/>
        <v>0.79187172759041824</v>
      </c>
      <c r="O45" s="3">
        <v>1.1200000000000001</v>
      </c>
    </row>
    <row r="46" spans="1:15" x14ac:dyDescent="0.3">
      <c r="A46" t="s">
        <v>25</v>
      </c>
      <c r="B46">
        <v>2021</v>
      </c>
      <c r="C46" s="12">
        <v>6033</v>
      </c>
      <c r="D46" s="12">
        <v>541241</v>
      </c>
      <c r="E46" s="12">
        <v>69271</v>
      </c>
      <c r="F46" s="12">
        <v>289513</v>
      </c>
      <c r="G46" s="12">
        <v>416488</v>
      </c>
      <c r="H46" s="8">
        <v>13006</v>
      </c>
      <c r="I46" s="1">
        <v>9.6000000000000002E-2</v>
      </c>
      <c r="J46" s="1">
        <f>C46/AVERAGE(E46,70912)</f>
        <v>8.6073204311507098E-2</v>
      </c>
      <c r="K46" s="1">
        <f>C46/AVERAGE(D46,509227)</f>
        <v>1.1486308959435223E-2</v>
      </c>
      <c r="L46" s="1">
        <v>2.7200000000000002E-2</v>
      </c>
      <c r="M46" s="1">
        <v>0.61</v>
      </c>
      <c r="N46" s="1">
        <f t="shared" si="0"/>
        <v>0.69512927143158987</v>
      </c>
      <c r="O46" s="3">
        <v>1.1399999999999999</v>
      </c>
    </row>
    <row r="47" spans="1:15" x14ac:dyDescent="0.3">
      <c r="A47" t="s">
        <v>26</v>
      </c>
      <c r="B47">
        <v>2025</v>
      </c>
      <c r="C47" s="12">
        <v>2453</v>
      </c>
      <c r="D47" s="12">
        <v>669009</v>
      </c>
      <c r="E47" s="12">
        <v>113616</v>
      </c>
      <c r="F47" s="12">
        <v>453622</v>
      </c>
      <c r="G47" s="12">
        <v>475771</v>
      </c>
      <c r="H47" s="8">
        <v>42878</v>
      </c>
      <c r="I47" s="1">
        <v>0.14300000000000002</v>
      </c>
      <c r="J47" s="1">
        <f>C47/AVERAGE(E47,E48)</f>
        <v>2.8130733944954127E-2</v>
      </c>
      <c r="K47" s="1">
        <f>C47/AVERAGE(D47,D48)</f>
        <v>4.2324007270826197E-3</v>
      </c>
      <c r="L47" s="1">
        <v>7.8399999999999997E-2</v>
      </c>
      <c r="M47" s="1">
        <v>0.57079999999999997</v>
      </c>
      <c r="N47" s="1">
        <f>F47/G47</f>
        <v>0.95344609066126351</v>
      </c>
      <c r="O47" s="3">
        <v>1.73</v>
      </c>
    </row>
    <row r="48" spans="1:15" x14ac:dyDescent="0.3">
      <c r="A48" t="s">
        <v>26</v>
      </c>
      <c r="B48">
        <v>2024</v>
      </c>
      <c r="C48" s="12">
        <v>4750</v>
      </c>
      <c r="D48" s="12">
        <v>490144</v>
      </c>
      <c r="E48" s="12">
        <v>60784</v>
      </c>
      <c r="F48" s="12">
        <v>327775</v>
      </c>
      <c r="G48" s="12">
        <v>362707</v>
      </c>
      <c r="H48" s="8">
        <v>31208</v>
      </c>
      <c r="I48" s="1">
        <v>0.13500000000000001</v>
      </c>
      <c r="J48" s="1">
        <f>C48/AVERAGE(E48,E49)</f>
        <v>7.9917222582083405E-2</v>
      </c>
      <c r="K48" s="1">
        <f>C48/AVERAGE(D48,D49)</f>
        <v>9.8078892596385747E-3</v>
      </c>
      <c r="L48" s="1">
        <v>6.88E-2</v>
      </c>
      <c r="M48" s="1">
        <v>0.54930000000000001</v>
      </c>
      <c r="N48" s="1">
        <f t="shared" si="0"/>
        <v>0.90369085791010373</v>
      </c>
      <c r="O48" s="3">
        <v>1.55</v>
      </c>
    </row>
    <row r="49" spans="1:15" x14ac:dyDescent="0.3">
      <c r="A49" t="s">
        <v>26</v>
      </c>
      <c r="B49">
        <v>2023</v>
      </c>
      <c r="C49" s="12">
        <v>4887</v>
      </c>
      <c r="D49" s="12">
        <v>478464</v>
      </c>
      <c r="E49" s="12">
        <v>58089</v>
      </c>
      <c r="F49" s="12">
        <v>320472</v>
      </c>
      <c r="G49" s="12">
        <v>348413</v>
      </c>
      <c r="H49" s="8">
        <v>29241</v>
      </c>
      <c r="I49" s="1">
        <v>0.129</v>
      </c>
      <c r="J49" s="1">
        <f>C49/AVERAGE(E49,E50)</f>
        <v>8.6332079071492929E-2</v>
      </c>
      <c r="K49" s="1">
        <f>C49/AVERAGE(D49,D50)</f>
        <v>1.0467884671199823E-2</v>
      </c>
      <c r="L49" s="1">
        <v>6.6299999999999998E-2</v>
      </c>
      <c r="M49" s="1">
        <v>0.55230000000000001</v>
      </c>
      <c r="N49" s="1">
        <f t="shared" si="0"/>
        <v>0.91980494413239455</v>
      </c>
      <c r="O49" s="3">
        <v>1.67</v>
      </c>
    </row>
    <row r="50" spans="1:15" x14ac:dyDescent="0.3">
      <c r="A50" t="s">
        <v>26</v>
      </c>
      <c r="B50">
        <v>2022</v>
      </c>
      <c r="C50" s="12">
        <v>7360</v>
      </c>
      <c r="D50" s="12">
        <v>455249</v>
      </c>
      <c r="E50" s="12">
        <v>55125</v>
      </c>
      <c r="F50" s="12">
        <v>312331</v>
      </c>
      <c r="G50" s="12">
        <v>332992</v>
      </c>
      <c r="H50" s="8">
        <v>27241</v>
      </c>
      <c r="I50" s="1">
        <v>0.125</v>
      </c>
      <c r="J50" s="1">
        <f>C50/AVERAGE(E50,E51)</f>
        <v>0.12672830896912721</v>
      </c>
      <c r="K50" s="1">
        <f>C50/AVERAGE(D50,D51)</f>
        <v>1.6583486362560976E-2</v>
      </c>
      <c r="L50" s="1">
        <v>6.6699999999999995E-2</v>
      </c>
      <c r="M50" s="1">
        <v>0.5595</v>
      </c>
      <c r="N50" s="1">
        <f t="shared" si="0"/>
        <v>0.93795346434749183</v>
      </c>
      <c r="O50" s="3">
        <v>1.52</v>
      </c>
    </row>
    <row r="51" spans="1:15" x14ac:dyDescent="0.3">
      <c r="A51" t="s">
        <v>26</v>
      </c>
      <c r="B51">
        <v>2021</v>
      </c>
      <c r="C51" s="12">
        <v>12390</v>
      </c>
      <c r="D51" s="12">
        <v>432381</v>
      </c>
      <c r="E51" s="12">
        <v>61029</v>
      </c>
      <c r="F51" s="12">
        <v>277340</v>
      </c>
      <c r="G51" s="12">
        <v>310980</v>
      </c>
      <c r="H51" s="8">
        <v>24171</v>
      </c>
      <c r="I51" s="1">
        <v>0.13100000000000001</v>
      </c>
      <c r="J51" s="1">
        <f>C51/AVERAGE(E51,60204)</f>
        <v>0.20439979213580461</v>
      </c>
      <c r="K51" s="1">
        <f>C51/AVERAGE(D51,421602)</f>
        <v>2.9016971063826797E-2</v>
      </c>
      <c r="L51" s="1">
        <v>6.2100000000000002E-2</v>
      </c>
      <c r="M51" s="1">
        <v>0.5444</v>
      </c>
      <c r="N51" s="1">
        <f t="shared" si="0"/>
        <v>0.89182584089008943</v>
      </c>
      <c r="O51" s="3">
        <v>1.49</v>
      </c>
    </row>
    <row r="52" spans="1:15" x14ac:dyDescent="0.3">
      <c r="A52" t="s">
        <v>27</v>
      </c>
      <c r="B52">
        <v>2025</v>
      </c>
      <c r="C52" s="10">
        <v>23131</v>
      </c>
      <c r="D52" s="10">
        <v>3233034</v>
      </c>
      <c r="E52" s="10">
        <v>205525</v>
      </c>
      <c r="F52" s="10">
        <v>988399</v>
      </c>
      <c r="G52" s="10">
        <v>1786828</v>
      </c>
      <c r="H52" s="11">
        <v>34794</v>
      </c>
      <c r="I52" s="1">
        <v>0.14899999999999999</v>
      </c>
      <c r="J52" s="1">
        <f>C52/AVERAGE(E52,E53)</f>
        <v>0.11629520510409806</v>
      </c>
      <c r="K52" s="1">
        <f>C52/AVERAGE(D52,D53)</f>
        <v>7.4018228880837087E-3</v>
      </c>
      <c r="L52" s="1">
        <v>1.5900000000000001E-2</v>
      </c>
      <c r="M52" s="1">
        <v>0.53400000000000003</v>
      </c>
      <c r="N52" s="1">
        <f t="shared" si="0"/>
        <v>0.55315844614031118</v>
      </c>
      <c r="O52" s="3">
        <v>1.37</v>
      </c>
    </row>
    <row r="53" spans="1:15" x14ac:dyDescent="0.3">
      <c r="A53" t="s">
        <v>27</v>
      </c>
      <c r="B53">
        <v>2024</v>
      </c>
      <c r="C53" s="10">
        <v>24999</v>
      </c>
      <c r="D53" s="10">
        <v>3017048</v>
      </c>
      <c r="E53" s="10">
        <v>192273</v>
      </c>
      <c r="F53" s="10">
        <v>930658</v>
      </c>
      <c r="G53" s="10">
        <v>1654955</v>
      </c>
      <c r="H53" s="11">
        <v>32733</v>
      </c>
      <c r="I53" s="1">
        <v>0.14899999999999999</v>
      </c>
      <c r="J53" s="1">
        <f>C53/AVERAGE(E53,E54)</f>
        <v>0.12990441250977569</v>
      </c>
      <c r="K53" s="1">
        <f>C53/AVERAGE(D53,D54)</f>
        <v>8.2563194332635655E-3</v>
      </c>
      <c r="L53" s="1">
        <v>1.5600000000000001E-2</v>
      </c>
      <c r="M53" s="1">
        <v>0.502</v>
      </c>
      <c r="N53" s="1">
        <f t="shared" si="0"/>
        <v>0.5623464082104952</v>
      </c>
      <c r="O53" s="3">
        <v>1.38</v>
      </c>
    </row>
    <row r="54" spans="1:15" x14ac:dyDescent="0.3">
      <c r="A54" t="s">
        <v>27</v>
      </c>
      <c r="B54">
        <v>2023</v>
      </c>
      <c r="C54" s="10">
        <v>24559</v>
      </c>
      <c r="D54" s="10">
        <v>3038677</v>
      </c>
      <c r="E54" s="10">
        <v>192610</v>
      </c>
      <c r="F54" s="10">
        <v>938535</v>
      </c>
      <c r="G54" s="10">
        <v>1611647</v>
      </c>
      <c r="H54" s="11">
        <v>35796</v>
      </c>
      <c r="I54" s="1">
        <v>0.14800000000000002</v>
      </c>
      <c r="J54" s="1">
        <f>C54/AVERAGE(E54,E55)</f>
        <v>0.13000817877911208</v>
      </c>
      <c r="K54" s="1">
        <f>C54/AVERAGE(D54,D55)</f>
        <v>8.2027757974192598E-3</v>
      </c>
      <c r="L54" s="1">
        <v>1.66E-2</v>
      </c>
      <c r="M54" s="1">
        <v>0.48499999999999999</v>
      </c>
      <c r="N54" s="1">
        <f t="shared" si="0"/>
        <v>0.58234526543343546</v>
      </c>
      <c r="O54" s="3">
        <v>1.36</v>
      </c>
    </row>
    <row r="55" spans="1:15" x14ac:dyDescent="0.3">
      <c r="A55" t="s">
        <v>27</v>
      </c>
      <c r="B55">
        <v>2022</v>
      </c>
      <c r="C55" s="10">
        <v>16249</v>
      </c>
      <c r="D55" s="10">
        <v>2949296</v>
      </c>
      <c r="E55" s="10">
        <v>185197</v>
      </c>
      <c r="F55" s="10">
        <v>923561</v>
      </c>
      <c r="G55" s="10">
        <v>1570303</v>
      </c>
      <c r="H55" s="11">
        <v>30377</v>
      </c>
      <c r="I55" s="1">
        <v>0.14199999999999999</v>
      </c>
      <c r="J55" s="1">
        <f>C55/AVERAGE(E55,E56)</f>
        <v>8.2908560261650013E-2</v>
      </c>
      <c r="K55" s="1">
        <f>C55/AVERAGE(D55,D56)</f>
        <v>5.5013893979162839E-3</v>
      </c>
      <c r="L55" s="1">
        <v>1.4800000000000001E-2</v>
      </c>
      <c r="M55" s="1">
        <v>0.64400000000000002</v>
      </c>
      <c r="N55" s="1">
        <f t="shared" si="0"/>
        <v>0.58814190637093611</v>
      </c>
      <c r="O55" s="3">
        <v>1.32</v>
      </c>
    </row>
    <row r="56" spans="1:15" x14ac:dyDescent="0.3">
      <c r="A56" t="s">
        <v>27</v>
      </c>
      <c r="B56">
        <v>2021</v>
      </c>
      <c r="C56" s="10">
        <v>14693</v>
      </c>
      <c r="D56" s="10">
        <v>2957939</v>
      </c>
      <c r="E56" s="10">
        <v>206777</v>
      </c>
      <c r="F56" s="10">
        <v>1045814</v>
      </c>
      <c r="G56" s="10">
        <v>1710574</v>
      </c>
      <c r="H56" s="11">
        <v>26489</v>
      </c>
      <c r="I56" s="1">
        <v>0.158</v>
      </c>
      <c r="J56" s="1">
        <f>C56/AVERAGE(E56,200589)</f>
        <v>7.2136604429432011E-2</v>
      </c>
      <c r="K56" s="1">
        <f>C56/AVERAGE(D56,2958548)</f>
        <v>4.9667987101129438E-3</v>
      </c>
      <c r="L56" s="1">
        <v>1.2E-2</v>
      </c>
      <c r="M56" s="1">
        <v>0.69900000000000007</v>
      </c>
      <c r="N56" s="1">
        <f t="shared" si="0"/>
        <v>0.61138191039966705</v>
      </c>
      <c r="O56" s="3">
        <v>1.39</v>
      </c>
    </row>
    <row r="57" spans="1:15" x14ac:dyDescent="0.3">
      <c r="A57" t="s">
        <v>28</v>
      </c>
      <c r="B57">
        <v>2025</v>
      </c>
      <c r="C57" s="10">
        <v>6175</v>
      </c>
      <c r="D57" s="10">
        <v>1544165</v>
      </c>
      <c r="E57" s="10">
        <v>78236</v>
      </c>
      <c r="F57" s="10">
        <v>355892</v>
      </c>
      <c r="G57" s="10">
        <v>565200</v>
      </c>
      <c r="H57" s="11">
        <v>36188</v>
      </c>
      <c r="I57" s="1">
        <v>0.13600000000000001</v>
      </c>
      <c r="J57" s="1">
        <f>C57/AVERAGE(E57,E58)</f>
        <v>8.1941652235646936E-2</v>
      </c>
      <c r="K57" s="1">
        <f>C57/AVERAGE(D57,D58)</f>
        <v>4.0328282011920843E-3</v>
      </c>
      <c r="L57" s="1">
        <v>4.5999999999999999E-2</v>
      </c>
      <c r="M57" s="1">
        <v>0.61</v>
      </c>
      <c r="N57" s="1">
        <f t="shared" si="0"/>
        <v>0.6296744515215853</v>
      </c>
      <c r="O57" s="3">
        <v>1.7</v>
      </c>
    </row>
    <row r="58" spans="1:15" x14ac:dyDescent="0.3">
      <c r="A58" t="s">
        <v>28</v>
      </c>
      <c r="B58">
        <v>2024</v>
      </c>
      <c r="C58" s="10">
        <v>5316</v>
      </c>
      <c r="D58" s="10">
        <v>1518202</v>
      </c>
      <c r="E58" s="10">
        <v>72481</v>
      </c>
      <c r="F58" s="10">
        <v>337846</v>
      </c>
      <c r="G58" s="10">
        <v>547460</v>
      </c>
      <c r="H58" s="11">
        <v>38326</v>
      </c>
      <c r="I58" s="1">
        <v>0.13600000000000001</v>
      </c>
      <c r="J58" s="1">
        <f>C58/AVERAGE(E58,E59)</f>
        <v>7.3656863763898989E-2</v>
      </c>
      <c r="K58" s="1">
        <f>C58/AVERAGE(D58,D59)</f>
        <v>3.549100056781595E-3</v>
      </c>
      <c r="L58" s="1">
        <v>4.2800000000000005E-2</v>
      </c>
      <c r="M58" s="1">
        <v>0.62</v>
      </c>
      <c r="N58" s="1">
        <f t="shared" si="0"/>
        <v>0.61711540569174006</v>
      </c>
      <c r="O58" s="3">
        <v>1.724</v>
      </c>
    </row>
    <row r="59" spans="1:15" x14ac:dyDescent="0.3">
      <c r="A59" t="s">
        <v>28</v>
      </c>
      <c r="B59">
        <v>2023</v>
      </c>
      <c r="C59" s="10">
        <v>4274</v>
      </c>
      <c r="D59" s="10">
        <v>1477487</v>
      </c>
      <c r="E59" s="10">
        <v>71864</v>
      </c>
      <c r="F59" s="10">
        <v>333288</v>
      </c>
      <c r="G59" s="10">
        <v>526462</v>
      </c>
      <c r="H59" s="11">
        <v>12709</v>
      </c>
      <c r="I59" s="1">
        <v>0.13800000000000001</v>
      </c>
      <c r="J59" s="1">
        <f>C59/AVERAGE(E59,E60)</f>
        <v>6.0570845497576596E-2</v>
      </c>
      <c r="K59" s="1">
        <f>C59/AVERAGE(D59,D60)</f>
        <v>2.8928504831513793E-3</v>
      </c>
      <c r="L59" s="1">
        <v>4.2000000000000003E-2</v>
      </c>
      <c r="M59" s="1">
        <v>0.67</v>
      </c>
      <c r="N59" s="1">
        <f t="shared" si="0"/>
        <v>0.63307133278375272</v>
      </c>
      <c r="O59" s="3">
        <v>1.61</v>
      </c>
    </row>
    <row r="60" spans="1:15" x14ac:dyDescent="0.3">
      <c r="A60" t="s">
        <v>28</v>
      </c>
      <c r="B60">
        <v>2022</v>
      </c>
      <c r="C60" s="10">
        <v>5023</v>
      </c>
      <c r="D60" s="10">
        <v>1477384</v>
      </c>
      <c r="E60" s="10">
        <v>69260</v>
      </c>
      <c r="F60" s="10">
        <v>244834</v>
      </c>
      <c r="G60" s="10">
        <v>527949</v>
      </c>
      <c r="H60" s="11">
        <v>10047</v>
      </c>
      <c r="I60" s="1">
        <v>0.13900000000000001</v>
      </c>
      <c r="J60" s="1">
        <f>C60/AVERAGE(E60,E61)</f>
        <v>7.3790600990142646E-2</v>
      </c>
      <c r="K60" s="1">
        <f>C60/AVERAGE(D60,D61)</f>
        <v>3.5536859144426947E-3</v>
      </c>
      <c r="L60" s="1">
        <v>3.5499999999999997E-2</v>
      </c>
      <c r="M60" s="1">
        <v>0.67</v>
      </c>
      <c r="N60" s="1">
        <f t="shared" si="0"/>
        <v>0.46374555118013294</v>
      </c>
      <c r="O60" s="3">
        <v>1.51</v>
      </c>
    </row>
    <row r="61" spans="1:15" x14ac:dyDescent="0.3">
      <c r="A61" t="s">
        <v>28</v>
      </c>
      <c r="B61">
        <v>2021</v>
      </c>
      <c r="C61" s="10">
        <v>6385</v>
      </c>
      <c r="D61" s="10">
        <v>1349540</v>
      </c>
      <c r="E61" s="10">
        <v>66882</v>
      </c>
      <c r="F61" s="10">
        <v>305081</v>
      </c>
      <c r="G61" s="10">
        <v>463692</v>
      </c>
      <c r="H61" s="11">
        <v>10121</v>
      </c>
      <c r="I61" s="1">
        <v>0.13800000000000001</v>
      </c>
      <c r="J61" s="1">
        <f>C61/AVERAGE(E61,67735)</f>
        <v>9.4861718802231515E-2</v>
      </c>
      <c r="K61" s="1">
        <f>C61/AVERAGE(D61,1385496)</f>
        <v>4.6690427475177656E-3</v>
      </c>
      <c r="L61" s="1">
        <v>2.52E-2</v>
      </c>
      <c r="M61" s="1">
        <v>0.63</v>
      </c>
      <c r="N61" s="1">
        <f t="shared" si="0"/>
        <v>0.65793889047039844</v>
      </c>
      <c r="O61" s="3">
        <v>1.51</v>
      </c>
    </row>
    <row r="62" spans="1:15" x14ac:dyDescent="0.3">
      <c r="A62" t="s">
        <v>29</v>
      </c>
      <c r="B62">
        <v>2025</v>
      </c>
      <c r="C62" s="10">
        <v>18301</v>
      </c>
      <c r="D62" s="10">
        <v>944072</v>
      </c>
      <c r="E62" s="10">
        <v>47867</v>
      </c>
      <c r="F62" s="10">
        <v>481463</v>
      </c>
      <c r="G62" s="10">
        <v>496457</v>
      </c>
      <c r="H62" s="11">
        <v>13635</v>
      </c>
      <c r="I62" s="1">
        <v>0.14000000000000001</v>
      </c>
      <c r="J62" s="1">
        <f>C62/AVERAGE(E62,E63)</f>
        <v>0.39040051197269476</v>
      </c>
      <c r="K62" s="1">
        <f>C62/AVERAGE(D62,D63)</f>
        <v>1.977664419492654E-2</v>
      </c>
      <c r="L62" s="1">
        <v>3.0600000000000002E-2</v>
      </c>
      <c r="M62" s="1">
        <v>0.58599999999999997</v>
      </c>
      <c r="N62" s="1">
        <f t="shared" si="0"/>
        <v>0.96979798854684296</v>
      </c>
      <c r="O62" s="3">
        <v>1.45</v>
      </c>
    </row>
    <row r="63" spans="1:15" x14ac:dyDescent="0.3">
      <c r="A63" t="s">
        <v>29</v>
      </c>
      <c r="B63">
        <v>2024</v>
      </c>
      <c r="C63" s="10">
        <v>17117</v>
      </c>
      <c r="D63" s="10">
        <v>906697</v>
      </c>
      <c r="E63" s="10">
        <v>45888</v>
      </c>
      <c r="F63" s="10">
        <v>459857</v>
      </c>
      <c r="G63" s="10">
        <v>482745</v>
      </c>
      <c r="H63" s="11">
        <v>12845</v>
      </c>
      <c r="I63" s="1">
        <v>0.14199999999999999</v>
      </c>
      <c r="J63" s="1">
        <f>C63/AVERAGE(E63,E64)</f>
        <v>0.36710883295979752</v>
      </c>
      <c r="K63" s="1">
        <f>C63/AVERAGE(D63,D64)</f>
        <v>1.9144926320498839E-2</v>
      </c>
      <c r="L63" s="1">
        <v>2.9500000000000002E-2</v>
      </c>
      <c r="M63" s="1">
        <v>0.60399999999999998</v>
      </c>
      <c r="N63" s="1">
        <f t="shared" si="0"/>
        <v>0.95258780515593122</v>
      </c>
      <c r="O63" s="3">
        <v>1.46</v>
      </c>
    </row>
    <row r="64" spans="1:15" x14ac:dyDescent="0.3">
      <c r="A64" t="s">
        <v>29</v>
      </c>
      <c r="B64">
        <v>2023</v>
      </c>
      <c r="C64" s="10">
        <v>17932</v>
      </c>
      <c r="D64" s="10">
        <v>881453</v>
      </c>
      <c r="E64" s="10">
        <v>47365</v>
      </c>
      <c r="F64" s="10">
        <v>449745</v>
      </c>
      <c r="G64" s="10">
        <v>471396</v>
      </c>
      <c r="H64" s="11">
        <v>13765</v>
      </c>
      <c r="I64" s="1">
        <v>0.14599999999999999</v>
      </c>
      <c r="J64" s="1">
        <f>C64/AVERAGE(E64,E65)</f>
        <v>0.39291818221657393</v>
      </c>
      <c r="K64" s="1">
        <f>C64/AVERAGE(D64,D65)</f>
        <v>2.0437109332038635E-2</v>
      </c>
      <c r="L64" s="1">
        <v>3.1099999999999999E-2</v>
      </c>
      <c r="M64" s="1">
        <v>0.54700000000000004</v>
      </c>
      <c r="N64" s="1">
        <f t="shared" si="0"/>
        <v>0.9540704630501744</v>
      </c>
      <c r="O64" s="3">
        <v>1.42</v>
      </c>
    </row>
    <row r="65" spans="1:15" x14ac:dyDescent="0.3">
      <c r="A65" t="s">
        <v>29</v>
      </c>
      <c r="B65">
        <v>2022</v>
      </c>
      <c r="C65" s="10">
        <v>17465</v>
      </c>
      <c r="D65" s="10">
        <v>873394</v>
      </c>
      <c r="E65" s="10">
        <v>43911</v>
      </c>
      <c r="F65" s="10">
        <v>454899</v>
      </c>
      <c r="G65" s="10">
        <v>475331</v>
      </c>
      <c r="H65" s="11">
        <v>13172</v>
      </c>
      <c r="I65" s="1">
        <v>0.151</v>
      </c>
      <c r="J65" s="1">
        <f>C65/AVERAGE(E65,E66)</f>
        <v>0.35986936319709878</v>
      </c>
      <c r="K65" s="1">
        <f>C65/AVERAGE(D65,D66)</f>
        <v>1.9847504345370439E-2</v>
      </c>
      <c r="L65" s="1">
        <v>2.9399999999999999E-2</v>
      </c>
      <c r="M65" s="1">
        <v>0.504</v>
      </c>
      <c r="N65" s="1">
        <f t="shared" si="0"/>
        <v>0.95701521676473866</v>
      </c>
      <c r="O65" s="3">
        <v>1.44</v>
      </c>
    </row>
    <row r="66" spans="1:15" x14ac:dyDescent="0.3">
      <c r="A66" t="s">
        <v>29</v>
      </c>
      <c r="B66">
        <v>2021</v>
      </c>
      <c r="C66" s="10">
        <v>15763</v>
      </c>
      <c r="D66" s="10">
        <v>886525</v>
      </c>
      <c r="E66" s="10">
        <v>53152</v>
      </c>
      <c r="F66" s="10">
        <v>448567</v>
      </c>
      <c r="G66" s="10">
        <v>476344</v>
      </c>
      <c r="H66" s="11">
        <v>11163</v>
      </c>
      <c r="I66" s="1">
        <v>0.17300000000000001</v>
      </c>
      <c r="J66" s="1">
        <f>C66/AVERAGE(E66,49413)</f>
        <v>0.30737581046165846</v>
      </c>
      <c r="K66" s="1">
        <f>C66/AVERAGE(D66,871269)</f>
        <v>1.7934979866810332E-2</v>
      </c>
      <c r="L66" s="1">
        <v>2.5399999999999999E-2</v>
      </c>
      <c r="M66" s="1">
        <v>0.61</v>
      </c>
      <c r="N66" s="1">
        <f t="shared" si="0"/>
        <v>0.94168710007893452</v>
      </c>
      <c r="O66" s="3">
        <v>1.35</v>
      </c>
    </row>
    <row r="67" spans="1:15" x14ac:dyDescent="0.3">
      <c r="A67" t="s">
        <v>30</v>
      </c>
      <c r="B67">
        <v>2025</v>
      </c>
      <c r="C67" s="13">
        <v>12225</v>
      </c>
      <c r="D67" s="14">
        <v>2792981</v>
      </c>
      <c r="E67" s="14">
        <v>125513</v>
      </c>
      <c r="F67" s="14">
        <v>897358</v>
      </c>
      <c r="G67" s="14">
        <v>1075564</v>
      </c>
      <c r="H67" s="13">
        <v>21203</v>
      </c>
      <c r="I67" s="1">
        <v>0.126</v>
      </c>
      <c r="J67" s="1">
        <f>C67/AVERAGE(E67,E68)</f>
        <v>9.6163300623389902E-2</v>
      </c>
      <c r="K67" s="1">
        <f>C67/AVERAGE(D67,D68)</f>
        <v>4.4471614468753369E-3</v>
      </c>
      <c r="L67" s="1">
        <v>7.7000000000000002E-3</v>
      </c>
      <c r="M67" s="1">
        <v>0.61199999999999999</v>
      </c>
      <c r="N67" s="1">
        <f t="shared" si="0"/>
        <v>0.83431390414703355</v>
      </c>
      <c r="O67" s="3">
        <v>1.34</v>
      </c>
    </row>
    <row r="68" spans="1:15" x14ac:dyDescent="0.3">
      <c r="A68" t="s">
        <v>30</v>
      </c>
      <c r="B68">
        <v>2024</v>
      </c>
      <c r="C68" s="14">
        <v>11688</v>
      </c>
      <c r="D68" s="14">
        <v>2704908</v>
      </c>
      <c r="E68" s="14">
        <v>128742</v>
      </c>
      <c r="F68" s="14">
        <v>900141</v>
      </c>
      <c r="G68" s="14">
        <v>1034857</v>
      </c>
      <c r="H68" s="13">
        <v>19524</v>
      </c>
      <c r="I68" s="1">
        <v>0.129</v>
      </c>
      <c r="J68" s="1">
        <f>C68/AVERAGE(E68,E69)</f>
        <v>9.1496923486402273E-2</v>
      </c>
      <c r="K68" s="1">
        <f>C68/AVERAGE(D68,D69)</f>
        <v>4.4135580970269088E-3</v>
      </c>
      <c r="L68" s="1">
        <v>7.4000000000000003E-3</v>
      </c>
      <c r="M68" s="1">
        <v>0.61799999999999999</v>
      </c>
      <c r="N68" s="1">
        <f t="shared" si="0"/>
        <v>0.86982162752921421</v>
      </c>
      <c r="O68" s="3">
        <v>1.37</v>
      </c>
    </row>
    <row r="69" spans="1:15" x14ac:dyDescent="0.3">
      <c r="A69" t="s">
        <v>30</v>
      </c>
      <c r="B69">
        <v>2023</v>
      </c>
      <c r="C69" s="14">
        <v>10975</v>
      </c>
      <c r="D69" s="14">
        <v>2591499</v>
      </c>
      <c r="E69" s="14">
        <v>126742</v>
      </c>
      <c r="F69" s="14">
        <v>859200</v>
      </c>
      <c r="G69" s="14">
        <v>988549</v>
      </c>
      <c r="H69" s="13">
        <v>19058</v>
      </c>
      <c r="I69" s="1">
        <v>0.13200000000000001</v>
      </c>
      <c r="J69" s="1">
        <f>C69/AVERAGE(E69,E70)</f>
        <v>8.8335667487645084E-2</v>
      </c>
      <c r="K69" s="1">
        <f>C69/AVERAGE(D69,D70)</f>
        <v>4.1746903454342298E-3</v>
      </c>
      <c r="L69" s="1">
        <v>7.1999999999999998E-3</v>
      </c>
      <c r="M69" s="1">
        <v>0.63</v>
      </c>
      <c r="N69" s="1">
        <f t="shared" si="0"/>
        <v>0.86915266719201578</v>
      </c>
      <c r="O69" s="3">
        <v>1.48</v>
      </c>
    </row>
    <row r="70" spans="1:15" x14ac:dyDescent="0.3">
      <c r="A70" t="s">
        <v>30</v>
      </c>
      <c r="B70">
        <v>2022</v>
      </c>
      <c r="C70" s="14">
        <v>10196</v>
      </c>
      <c r="D70" s="14">
        <v>2666376</v>
      </c>
      <c r="E70" s="14">
        <v>121742</v>
      </c>
      <c r="F70" s="14">
        <v>857020</v>
      </c>
      <c r="G70" s="14">
        <v>1008054</v>
      </c>
      <c r="H70" s="13">
        <v>23168</v>
      </c>
      <c r="I70" s="1">
        <v>0.12300000000000001</v>
      </c>
      <c r="J70" s="1">
        <f>C70/AVERAGE(E70,E71)</f>
        <v>8.50985694493131E-2</v>
      </c>
      <c r="K70" s="1">
        <f>C70/AVERAGE(D70,D71)</f>
        <v>3.846951981014258E-3</v>
      </c>
      <c r="L70" s="1">
        <v>8.6999999999999994E-3</v>
      </c>
      <c r="M70" s="1">
        <v>0.66799999999999993</v>
      </c>
      <c r="N70" s="1">
        <f t="shared" si="0"/>
        <v>0.85017270900170028</v>
      </c>
      <c r="O70" s="3">
        <v>1.32</v>
      </c>
    </row>
    <row r="71" spans="1:15" x14ac:dyDescent="0.3">
      <c r="A71" t="s">
        <v>30</v>
      </c>
      <c r="B71">
        <v>2021</v>
      </c>
      <c r="C71" s="14">
        <v>9488</v>
      </c>
      <c r="D71" s="14">
        <v>2634444</v>
      </c>
      <c r="E71" s="14">
        <v>117886</v>
      </c>
      <c r="F71" s="14">
        <v>814000</v>
      </c>
      <c r="G71" s="14">
        <v>957684</v>
      </c>
      <c r="H71" s="13">
        <v>21209</v>
      </c>
      <c r="I71" s="1">
        <v>0.129</v>
      </c>
      <c r="J71" s="1">
        <f>C71/AVERAGE(E7,1117349)</f>
        <v>1.3357811391307286E-2</v>
      </c>
      <c r="K71" s="1">
        <f>C71/AVERAGE(D71,2488491)</f>
        <v>3.7041266383430593E-3</v>
      </c>
      <c r="L71" s="1">
        <v>8.3000000000000001E-3</v>
      </c>
      <c r="M71" s="1">
        <v>0.67299999999999993</v>
      </c>
      <c r="N71" s="1">
        <f t="shared" si="0"/>
        <v>0.84996721256698449</v>
      </c>
      <c r="O71" s="3">
        <v>1.43</v>
      </c>
    </row>
    <row r="72" spans="1:15" ht="28.8" x14ac:dyDescent="0.3">
      <c r="A72" s="15" t="s">
        <v>31</v>
      </c>
      <c r="B72">
        <v>2025</v>
      </c>
      <c r="C72" s="14">
        <v>7074</v>
      </c>
      <c r="D72" s="14">
        <v>2374307</v>
      </c>
      <c r="E72" s="14">
        <v>85864</v>
      </c>
      <c r="F72" s="14">
        <v>559235</v>
      </c>
      <c r="G72" s="14">
        <v>894540</v>
      </c>
      <c r="H72" s="13">
        <v>15308</v>
      </c>
      <c r="I72" s="1">
        <v>0.11800000000000001</v>
      </c>
      <c r="J72" s="1">
        <f>C72/AVERAGE(E72,E73)</f>
        <v>8.3629377863159451E-2</v>
      </c>
      <c r="K72" s="1">
        <f>C72/AVERAGE(D72,D73)</f>
        <v>3.0204379122599932E-3</v>
      </c>
      <c r="L72" s="1">
        <v>6.4999999999999997E-3</v>
      </c>
      <c r="M72" s="1">
        <v>0.55700000000000005</v>
      </c>
      <c r="N72" s="1">
        <f t="shared" si="0"/>
        <v>0.62516488921680413</v>
      </c>
      <c r="O72" s="3">
        <v>1.41</v>
      </c>
    </row>
    <row r="73" spans="1:15" ht="28.8" x14ac:dyDescent="0.3">
      <c r="A73" s="15" t="s">
        <v>31</v>
      </c>
      <c r="B73">
        <v>2024</v>
      </c>
      <c r="C73" s="14">
        <v>7087</v>
      </c>
      <c r="D73" s="14">
        <v>2309782</v>
      </c>
      <c r="E73" s="14">
        <v>83311</v>
      </c>
      <c r="F73" s="14">
        <v>548101</v>
      </c>
      <c r="G73" s="14">
        <v>868115</v>
      </c>
      <c r="H73" s="13">
        <v>14299</v>
      </c>
      <c r="I73" s="1">
        <v>0.11699999999999999</v>
      </c>
      <c r="J73" s="1">
        <f>C73/AVERAGE(E73,E74)</f>
        <v>8.6834527966672792E-2</v>
      </c>
      <c r="K73" s="1">
        <f>C73/AVERAGE(D73,D74)</f>
        <v>3.1503518418911892E-3</v>
      </c>
      <c r="L73" s="1">
        <v>6.3E-3</v>
      </c>
      <c r="M73" s="1">
        <v>0.54400000000000004</v>
      </c>
      <c r="N73" s="1">
        <f t="shared" si="0"/>
        <v>0.63136911584294708</v>
      </c>
      <c r="O73" s="3">
        <v>1.45</v>
      </c>
    </row>
    <row r="74" spans="1:15" ht="28.8" x14ac:dyDescent="0.3">
      <c r="A74" s="15" t="s">
        <v>31</v>
      </c>
      <c r="B74">
        <v>2023</v>
      </c>
      <c r="C74" s="14">
        <v>8258</v>
      </c>
      <c r="D74" s="14">
        <v>2189398</v>
      </c>
      <c r="E74" s="14">
        <v>79919</v>
      </c>
      <c r="F74" s="14">
        <v>516281</v>
      </c>
      <c r="G74" s="14">
        <v>834998</v>
      </c>
      <c r="H74" s="13">
        <v>14244</v>
      </c>
      <c r="I74" s="1">
        <v>0.11800000000000001</v>
      </c>
      <c r="J74" s="1">
        <f>C74/AVERAGE(E74,E75)</f>
        <v>0.10766693394350681</v>
      </c>
      <c r="K74" s="1">
        <f>C74/AVERAGE(D74,D75)</f>
        <v>3.7906651313661935E-3</v>
      </c>
      <c r="L74" s="1">
        <v>6.3E-3</v>
      </c>
      <c r="M74" s="1">
        <v>0.55399999999999994</v>
      </c>
      <c r="N74" s="1">
        <f t="shared" si="0"/>
        <v>0.61830207976546048</v>
      </c>
      <c r="O74" s="3">
        <v>1.43</v>
      </c>
    </row>
    <row r="75" spans="1:15" ht="28.8" x14ac:dyDescent="0.3">
      <c r="A75" s="15" t="s">
        <v>31</v>
      </c>
      <c r="B75">
        <v>2022</v>
      </c>
      <c r="C75" s="14">
        <v>5437</v>
      </c>
      <c r="D75" s="14">
        <v>2167621</v>
      </c>
      <c r="E75" s="14">
        <v>73480</v>
      </c>
      <c r="F75" s="14">
        <v>489757</v>
      </c>
      <c r="G75" s="14">
        <v>827977</v>
      </c>
      <c r="H75" s="13">
        <v>12864</v>
      </c>
      <c r="I75" s="1">
        <v>0.11199999999999999</v>
      </c>
      <c r="J75" s="1">
        <f>C75/AVERAGE(E75,E76)</f>
        <v>7.230245485252268E-2</v>
      </c>
      <c r="K75" s="1">
        <f>C75/AVERAGE(D75,D76)</f>
        <v>2.5636697303077914E-3</v>
      </c>
      <c r="L75" s="1">
        <v>5.8999999999999999E-3</v>
      </c>
      <c r="M75" s="1">
        <v>0.58200000000000007</v>
      </c>
      <c r="N75" s="1">
        <f t="shared" si="0"/>
        <v>0.59151039219688473</v>
      </c>
      <c r="O75" s="3">
        <v>1.48</v>
      </c>
    </row>
    <row r="76" spans="1:15" ht="28.8" x14ac:dyDescent="0.3">
      <c r="A76" s="15" t="s">
        <v>31</v>
      </c>
      <c r="B76">
        <v>2021</v>
      </c>
      <c r="C76" s="14">
        <v>5844</v>
      </c>
      <c r="D76" s="14">
        <v>2073955</v>
      </c>
      <c r="E76" s="14">
        <v>76916</v>
      </c>
      <c r="F76" s="14">
        <v>459905</v>
      </c>
      <c r="G76" s="14">
        <v>781177</v>
      </c>
      <c r="H76" s="13">
        <v>12121</v>
      </c>
      <c r="I76" s="1">
        <v>0.11900000000000001</v>
      </c>
      <c r="J76" s="1">
        <f>C76/AVERAGE(E76,126474)</f>
        <v>5.7465952111706575E-2</v>
      </c>
      <c r="K76" s="1">
        <f>C76/AVERAGE(D76,1961100)</f>
        <v>2.8966147921155971E-3</v>
      </c>
      <c r="L76" s="1">
        <v>5.8999999999999999E-3</v>
      </c>
      <c r="M76" s="1">
        <v>0.57799999999999996</v>
      </c>
      <c r="N76" s="1">
        <f t="shared" si="0"/>
        <v>0.58873341124994716</v>
      </c>
      <c r="O76" s="3">
        <v>1.53</v>
      </c>
    </row>
    <row r="77" spans="1:15" x14ac:dyDescent="0.3">
      <c r="A77" s="15" t="s">
        <v>32</v>
      </c>
      <c r="B77">
        <v>2025</v>
      </c>
      <c r="C77" s="14">
        <v>6064</v>
      </c>
      <c r="D77" s="14">
        <v>1425000</v>
      </c>
      <c r="E77" s="14">
        <v>80203</v>
      </c>
      <c r="F77" s="14">
        <v>479000</v>
      </c>
      <c r="G77" s="14">
        <v>692000</v>
      </c>
      <c r="H77" s="13">
        <v>15891</v>
      </c>
      <c r="I77" s="1">
        <v>0.14199999999999999</v>
      </c>
      <c r="J77" s="1">
        <f>C77/AVERAGE(E77,E78)</f>
        <v>8.1285228849285879E-2</v>
      </c>
      <c r="K77" s="1">
        <f>C77/AVERAGE(D77,D78)</f>
        <v>4.3129445234708396E-3</v>
      </c>
      <c r="L77" s="1">
        <v>1.1000000000000001E-2</v>
      </c>
      <c r="M77" s="1">
        <v>0.64400000000000002</v>
      </c>
      <c r="N77" s="1">
        <f t="shared" si="0"/>
        <v>0.69219653179190754</v>
      </c>
      <c r="O77" s="3">
        <v>1.44</v>
      </c>
    </row>
    <row r="78" spans="1:15" x14ac:dyDescent="0.3">
      <c r="A78" s="15" t="s">
        <v>32</v>
      </c>
      <c r="B78">
        <v>2024</v>
      </c>
      <c r="C78" s="14">
        <v>2698</v>
      </c>
      <c r="D78" s="14">
        <v>1387000</v>
      </c>
      <c r="E78" s="14">
        <v>69000</v>
      </c>
      <c r="F78" s="14">
        <v>479000</v>
      </c>
      <c r="G78" s="14">
        <v>666000</v>
      </c>
      <c r="H78" s="13">
        <v>13065</v>
      </c>
      <c r="I78" s="1">
        <v>0.13800000000000001</v>
      </c>
      <c r="J78" s="1">
        <f>C78/AVERAGE(E78,E79)</f>
        <v>4.0571428571428571E-2</v>
      </c>
      <c r="K78" s="1">
        <f>C78/AVERAGE(D78,D79)</f>
        <v>1.9992589848091885E-3</v>
      </c>
      <c r="L78" s="1">
        <v>9.2999999999999992E-3</v>
      </c>
      <c r="M78" s="1">
        <v>0.76300000000000001</v>
      </c>
      <c r="N78" s="1">
        <f t="shared" si="0"/>
        <v>0.71921921921921927</v>
      </c>
      <c r="O78" s="3">
        <v>1.41</v>
      </c>
    </row>
    <row r="79" spans="1:15" x14ac:dyDescent="0.3">
      <c r="A79" s="15" t="s">
        <v>32</v>
      </c>
      <c r="B79">
        <v>2023</v>
      </c>
      <c r="C79" s="14">
        <v>4210</v>
      </c>
      <c r="D79" s="14">
        <v>1312000</v>
      </c>
      <c r="E79" s="14">
        <v>64000</v>
      </c>
      <c r="F79" s="14">
        <v>477000</v>
      </c>
      <c r="G79" s="14">
        <v>646000</v>
      </c>
      <c r="H79" s="13">
        <v>13602</v>
      </c>
      <c r="I79" s="1">
        <v>0.13699999999999998</v>
      </c>
      <c r="J79" s="1">
        <f>C79/AVERAGE(E79,E80)</f>
        <v>6.8455284552845524E-2</v>
      </c>
      <c r="K79" s="1">
        <f>C79/AVERAGE(D79,D80)</f>
        <v>3.2039573820395739E-3</v>
      </c>
      <c r="L79" s="1">
        <v>1.01E-2</v>
      </c>
      <c r="M79" s="1">
        <v>0.75</v>
      </c>
      <c r="N79" s="1">
        <f t="shared" si="0"/>
        <v>0.73839009287925694</v>
      </c>
      <c r="O79" s="3">
        <v>1.4</v>
      </c>
    </row>
    <row r="80" spans="1:15" x14ac:dyDescent="0.3">
      <c r="A80" s="15" t="s">
        <v>32</v>
      </c>
      <c r="B80">
        <v>2022</v>
      </c>
      <c r="C80" s="14">
        <v>5025</v>
      </c>
      <c r="D80" s="14">
        <v>1316000</v>
      </c>
      <c r="E80" s="14">
        <v>59000</v>
      </c>
      <c r="F80" s="14">
        <v>482000</v>
      </c>
      <c r="G80" s="14">
        <v>600000</v>
      </c>
      <c r="H80" s="13">
        <v>10000</v>
      </c>
      <c r="I80" s="1">
        <v>0.13400000000000001</v>
      </c>
      <c r="J80" s="1">
        <f>C80/AVERAGE(E80,E81)</f>
        <v>8.5877617985593069E-2</v>
      </c>
      <c r="K80" s="1">
        <f>C80/AVERAGE(D80,D81)</f>
        <v>3.8068282756810339E-3</v>
      </c>
      <c r="L80" s="1">
        <v>8.0000000000000002E-3</v>
      </c>
      <c r="M80" s="1">
        <v>0.75</v>
      </c>
      <c r="N80" s="1">
        <f t="shared" si="0"/>
        <v>0.80333333333333334</v>
      </c>
      <c r="O80" s="3">
        <v>1.4</v>
      </c>
    </row>
    <row r="81" spans="1:15" x14ac:dyDescent="0.3">
      <c r="A81" s="15" t="s">
        <v>32</v>
      </c>
      <c r="B81">
        <v>2021</v>
      </c>
      <c r="C81" s="14">
        <v>1940</v>
      </c>
      <c r="D81" s="14">
        <v>1323993</v>
      </c>
      <c r="E81" s="14">
        <v>58027</v>
      </c>
      <c r="F81" s="14">
        <v>471319</v>
      </c>
      <c r="G81" s="14">
        <v>603750</v>
      </c>
      <c r="H81" s="13">
        <v>8000</v>
      </c>
      <c r="I81" s="1">
        <v>0.13200000000000001</v>
      </c>
      <c r="J81" s="1">
        <f>C81/AVERAGE(E81,62196)</f>
        <v>3.2273358675128719E-2</v>
      </c>
      <c r="K81" s="1">
        <f>C81/AVERAGE(D81,1325259)</f>
        <v>1.4645643374054261E-3</v>
      </c>
      <c r="L81" s="1">
        <v>6.4999999999999997E-3</v>
      </c>
      <c r="M81" s="1">
        <v>0.84599999999999997</v>
      </c>
      <c r="N81" s="1">
        <f t="shared" si="0"/>
        <v>0.78065258799171844</v>
      </c>
      <c r="O81" s="3">
        <v>1.4</v>
      </c>
    </row>
    <row r="82" spans="1:15" x14ac:dyDescent="0.3">
      <c r="A82" s="15" t="s">
        <v>33</v>
      </c>
      <c r="B82">
        <v>2025</v>
      </c>
      <c r="C82" s="14">
        <v>2625</v>
      </c>
      <c r="D82" s="14">
        <v>551977</v>
      </c>
      <c r="E82" s="14">
        <v>30000</v>
      </c>
      <c r="F82" s="14">
        <v>273966</v>
      </c>
      <c r="G82" s="14">
        <v>390279</v>
      </c>
      <c r="H82" s="13">
        <v>8226</v>
      </c>
      <c r="I82" s="1">
        <v>0.14899999999999999</v>
      </c>
      <c r="J82" s="1">
        <f>C82/AVERAGE(E82,E83)</f>
        <v>8.7499999999999994E-2</v>
      </c>
      <c r="K82" s="1">
        <f>C82/AVERAGE(D82,D83)</f>
        <v>4.7209513121546963E-3</v>
      </c>
      <c r="L82" t="s">
        <v>20</v>
      </c>
      <c r="M82" s="1">
        <v>0.56999999999999995</v>
      </c>
      <c r="N82" s="1">
        <f t="shared" si="0"/>
        <v>0.7019747411467181</v>
      </c>
      <c r="O82" s="3">
        <v>1.4530000000000001</v>
      </c>
    </row>
    <row r="83" spans="1:15" x14ac:dyDescent="0.3">
      <c r="A83" s="15" t="s">
        <v>33</v>
      </c>
      <c r="B83">
        <v>2024</v>
      </c>
      <c r="C83" s="14">
        <v>2677</v>
      </c>
      <c r="D83" s="14">
        <v>560087</v>
      </c>
      <c r="E83" s="14">
        <v>30000</v>
      </c>
      <c r="F83" s="14">
        <v>278400</v>
      </c>
      <c r="G83" s="14">
        <v>395204</v>
      </c>
      <c r="H83" s="13">
        <v>8331</v>
      </c>
      <c r="I83" s="1">
        <v>0.14800000000000002</v>
      </c>
      <c r="J83" s="1">
        <f>C83/AVERAGE(E83,E84)</f>
        <v>9.0745762711864408E-2</v>
      </c>
      <c r="K83" s="1">
        <f>C83/AVERAGE(D83,D84)</f>
        <v>4.7223606511106898E-3</v>
      </c>
      <c r="L83" t="s">
        <v>20</v>
      </c>
      <c r="M83" s="1">
        <v>0.58799999999999997</v>
      </c>
      <c r="N83" s="1">
        <f t="shared" si="0"/>
        <v>0.70444631127215307</v>
      </c>
      <c r="O83" s="3">
        <v>1.46</v>
      </c>
    </row>
    <row r="84" spans="1:15" x14ac:dyDescent="0.3">
      <c r="A84" t="s">
        <v>33</v>
      </c>
      <c r="B84">
        <v>2023</v>
      </c>
      <c r="C84" s="14">
        <v>2224</v>
      </c>
      <c r="D84" s="14">
        <v>573668</v>
      </c>
      <c r="E84" s="14">
        <v>29000</v>
      </c>
      <c r="F84" s="14">
        <v>286001</v>
      </c>
      <c r="G84" s="14">
        <v>391643</v>
      </c>
      <c r="H84" s="13">
        <v>8368</v>
      </c>
      <c r="I84" s="1">
        <v>0.151</v>
      </c>
      <c r="J84" s="1">
        <f>C84/AVERAGE(E84,E85)</f>
        <v>7.9428571428571432E-2</v>
      </c>
      <c r="K84" s="1">
        <f>C84/AVERAGE(D84,D85)</f>
        <v>3.8494624772606504E-3</v>
      </c>
      <c r="L84" t="s">
        <v>20</v>
      </c>
      <c r="M84" s="1">
        <v>0.56100000000000005</v>
      </c>
      <c r="N84" s="1">
        <f t="shared" si="0"/>
        <v>0.73025944546436428</v>
      </c>
      <c r="O84" s="3">
        <v>1.43</v>
      </c>
    </row>
    <row r="85" spans="1:15" x14ac:dyDescent="0.3">
      <c r="A85" t="s">
        <v>33</v>
      </c>
      <c r="B85">
        <v>2022</v>
      </c>
      <c r="C85" s="14">
        <v>1435</v>
      </c>
      <c r="D85" s="14">
        <v>581818</v>
      </c>
      <c r="E85" s="14">
        <v>27000</v>
      </c>
      <c r="F85" s="14">
        <v>292509</v>
      </c>
      <c r="G85" s="14">
        <v>396540</v>
      </c>
      <c r="H85" s="13">
        <v>6459</v>
      </c>
      <c r="I85" s="1">
        <v>0.14599999999999999</v>
      </c>
      <c r="J85" s="1">
        <f>C85/AVERAGE(E85,E86)</f>
        <v>5.0504161754095764E-2</v>
      </c>
      <c r="K85" s="1">
        <f>C85/AVERAGE(D85,D86)</f>
        <v>2.7207350345353231E-3</v>
      </c>
      <c r="L85" t="s">
        <v>20</v>
      </c>
      <c r="M85" s="1">
        <v>0.55399999999999994</v>
      </c>
      <c r="N85" s="1">
        <f t="shared" si="0"/>
        <v>0.73765320018157055</v>
      </c>
      <c r="O85" s="3">
        <v>1.51</v>
      </c>
    </row>
    <row r="86" spans="1:15" x14ac:dyDescent="0.3">
      <c r="A86" t="s">
        <v>33</v>
      </c>
      <c r="B86">
        <v>2021</v>
      </c>
      <c r="C86" s="14">
        <v>430</v>
      </c>
      <c r="D86" s="14">
        <v>473044</v>
      </c>
      <c r="E86" s="14">
        <v>29827</v>
      </c>
      <c r="F86" s="14">
        <v>282000</v>
      </c>
      <c r="G86" s="14">
        <v>443000</v>
      </c>
      <c r="H86" s="13">
        <v>4849</v>
      </c>
      <c r="I86" s="1">
        <v>0.13600000000000001</v>
      </c>
      <c r="J86" s="1">
        <f>C86/AVERAGE(E86,29827)</f>
        <v>1.4416468300533074E-2</v>
      </c>
      <c r="K86" s="1">
        <f>C86/AVERAGE(D86,506613)</f>
        <v>8.7785827080294433E-4</v>
      </c>
      <c r="L86" t="s">
        <v>20</v>
      </c>
      <c r="M86" s="1">
        <v>0.79299999999999993</v>
      </c>
      <c r="N86" s="1">
        <f t="shared" si="0"/>
        <v>0.63656884875846498</v>
      </c>
      <c r="O86" s="3">
        <v>1.5</v>
      </c>
    </row>
    <row r="87" spans="1:15" x14ac:dyDescent="0.3">
      <c r="A87" t="s">
        <v>34</v>
      </c>
      <c r="B87">
        <v>2025</v>
      </c>
      <c r="C87" s="14">
        <v>14101</v>
      </c>
      <c r="D87" s="14">
        <v>1867515</v>
      </c>
      <c r="E87" s="14">
        <v>112748</v>
      </c>
      <c r="F87" s="14">
        <v>1037288</v>
      </c>
      <c r="G87" s="14">
        <v>1041200</v>
      </c>
      <c r="H87" s="13">
        <v>42348</v>
      </c>
      <c r="I87" s="1">
        <v>0.13500000000000001</v>
      </c>
      <c r="J87" s="1">
        <f>C87/AVERAGE(E87,E88)</f>
        <v>0.12814722253777122</v>
      </c>
      <c r="K87" s="1">
        <f>C87/AVERAGE(D87,D88)</f>
        <v>7.6127059468832766E-3</v>
      </c>
      <c r="L87" s="1">
        <v>2.29E-2</v>
      </c>
      <c r="M87" s="1">
        <v>0.41199999999999998</v>
      </c>
      <c r="N87" s="1">
        <f t="shared" si="0"/>
        <v>0.99624279677295424</v>
      </c>
      <c r="O87" s="3">
        <v>1.55</v>
      </c>
    </row>
    <row r="88" spans="1:15" x14ac:dyDescent="0.3">
      <c r="A88" t="s">
        <v>34</v>
      </c>
      <c r="B88">
        <v>2024</v>
      </c>
      <c r="C88" s="14">
        <v>12574</v>
      </c>
      <c r="D88" s="14">
        <v>1837081</v>
      </c>
      <c r="E88" s="14">
        <v>107327</v>
      </c>
      <c r="F88" s="14">
        <v>1054069</v>
      </c>
      <c r="G88" s="14">
        <v>1055936</v>
      </c>
      <c r="H88" s="13">
        <v>46668</v>
      </c>
      <c r="I88" s="1">
        <v>0.128</v>
      </c>
      <c r="J88" s="1">
        <f>C88/AVERAGE(E88,E89)</f>
        <v>0.11886485668910232</v>
      </c>
      <c r="K88" s="1">
        <f>C88/AVERAGE(D88,D89)</f>
        <v>6.9199258257036118E-3</v>
      </c>
      <c r="L88" s="1">
        <v>2.5700000000000001E-2</v>
      </c>
      <c r="M88" s="1">
        <v>0.41799999999999998</v>
      </c>
      <c r="N88" s="1">
        <f t="shared" si="0"/>
        <v>0.9982319004182072</v>
      </c>
      <c r="O88" s="3">
        <v>1.68</v>
      </c>
    </row>
    <row r="89" spans="1:15" x14ac:dyDescent="0.3">
      <c r="A89" t="s">
        <v>34</v>
      </c>
      <c r="B89">
        <v>2023</v>
      </c>
      <c r="C89" s="14">
        <v>11076</v>
      </c>
      <c r="D89" s="14">
        <v>1797062</v>
      </c>
      <c r="E89" s="14">
        <v>104241</v>
      </c>
      <c r="F89" s="14">
        <v>1036349</v>
      </c>
      <c r="G89" s="14">
        <v>1047169</v>
      </c>
      <c r="H89" s="13">
        <v>43261</v>
      </c>
      <c r="I89" s="1">
        <v>0.12300000000000001</v>
      </c>
      <c r="J89" s="1">
        <f>C89/AVERAGE(E89,E90)</f>
        <v>0.10975791027915136</v>
      </c>
      <c r="K89" s="1">
        <f>C89/AVERAGE(D89,D90)</f>
        <v>6.2722961411730994E-3</v>
      </c>
      <c r="L89" s="1">
        <v>2.4500000000000001E-2</v>
      </c>
      <c r="M89" s="1">
        <v>0.441</v>
      </c>
      <c r="N89" s="1">
        <f t="shared" si="0"/>
        <v>0.98966737938193361</v>
      </c>
      <c r="O89" s="3">
        <v>1.66</v>
      </c>
    </row>
    <row r="90" spans="1:15" x14ac:dyDescent="0.3">
      <c r="A90" t="s">
        <v>34</v>
      </c>
      <c r="B90">
        <v>2022</v>
      </c>
      <c r="C90" s="14">
        <v>9605</v>
      </c>
      <c r="D90" s="14">
        <v>1734659</v>
      </c>
      <c r="E90" s="14">
        <v>97585</v>
      </c>
      <c r="F90" s="14">
        <v>1036004</v>
      </c>
      <c r="G90" s="14">
        <v>1025401</v>
      </c>
      <c r="H90" s="13">
        <v>38619</v>
      </c>
      <c r="I90" s="1">
        <v>0.12039999999999999</v>
      </c>
      <c r="J90" s="1">
        <f>C90/AVERAGE(E90,E91)</f>
        <v>9.8696040855331429E-2</v>
      </c>
      <c r="K90" s="1">
        <f>C90/AVERAGE(D90,D91)</f>
        <v>5.7679131083857227E-3</v>
      </c>
      <c r="L90" s="1">
        <v>2.3199999999999998E-2</v>
      </c>
      <c r="M90" s="1">
        <v>0.45800000000000002</v>
      </c>
      <c r="N90" s="1">
        <f t="shared" si="0"/>
        <v>1.010340344899215</v>
      </c>
      <c r="O90" s="3">
        <v>1.52</v>
      </c>
    </row>
    <row r="91" spans="1:15" x14ac:dyDescent="0.3">
      <c r="A91" t="s">
        <v>34</v>
      </c>
      <c r="B91">
        <v>2021</v>
      </c>
      <c r="C91" s="14">
        <v>8124</v>
      </c>
      <c r="D91" s="14">
        <v>1595835</v>
      </c>
      <c r="E91" s="14">
        <v>97053</v>
      </c>
      <c r="F91" s="14">
        <v>972682</v>
      </c>
      <c r="G91" s="14">
        <v>918344</v>
      </c>
      <c r="H91" s="13">
        <v>33370</v>
      </c>
      <c r="I91" s="1">
        <v>0.12509999999999999</v>
      </c>
      <c r="J91" s="1">
        <f>C91/AVERAGE(E91,91980)</f>
        <v>8.5953246258589772E-2</v>
      </c>
      <c r="K91" s="1">
        <f>C91/AVERAGE(D91,1508250)</f>
        <v>5.2343927437554063E-3</v>
      </c>
      <c r="L91" s="1">
        <v>2.1499999999999998E-2</v>
      </c>
      <c r="M91" s="1">
        <v>0.46200000000000002</v>
      </c>
      <c r="N91" s="1">
        <f t="shared" si="0"/>
        <v>1.0591695486658594</v>
      </c>
      <c r="O91" s="3">
        <v>1.63</v>
      </c>
    </row>
    <row r="92" spans="1:15" x14ac:dyDescent="0.3">
      <c r="A92" t="s">
        <v>35</v>
      </c>
      <c r="B92">
        <v>2025</v>
      </c>
      <c r="C92" s="14">
        <v>10511</v>
      </c>
      <c r="D92" s="14">
        <v>859576</v>
      </c>
      <c r="E92" s="14">
        <v>61798</v>
      </c>
      <c r="F92" s="14">
        <v>460401</v>
      </c>
      <c r="G92" s="14">
        <v>502501</v>
      </c>
      <c r="H92" s="13">
        <v>26280</v>
      </c>
      <c r="I92" s="1">
        <v>0.127</v>
      </c>
      <c r="J92" s="1">
        <f>C92/AVERAGE(E92,E93)</f>
        <v>0.17257741437625193</v>
      </c>
      <c r="K92" s="1">
        <f>C92/AVERAGE(D92,D93)</f>
        <v>1.2881301095970656E-2</v>
      </c>
      <c r="L92" s="1">
        <v>3.2199999999999999E-2</v>
      </c>
      <c r="M92" s="1">
        <v>0.38800000000000001</v>
      </c>
      <c r="N92" s="1">
        <f t="shared" si="0"/>
        <v>0.9162190722008513</v>
      </c>
      <c r="O92" s="3">
        <v>1.43</v>
      </c>
    </row>
    <row r="93" spans="1:15" x14ac:dyDescent="0.3">
      <c r="A93" t="s">
        <v>35</v>
      </c>
      <c r="B93">
        <v>2024</v>
      </c>
      <c r="C93" s="14">
        <v>10054</v>
      </c>
      <c r="D93" s="14">
        <v>772402</v>
      </c>
      <c r="E93" s="14">
        <v>60014</v>
      </c>
      <c r="F93" s="14">
        <v>412477</v>
      </c>
      <c r="G93" s="14">
        <v>447646</v>
      </c>
      <c r="H93" s="13">
        <v>25267</v>
      </c>
      <c r="I93" s="1">
        <v>0.1288</v>
      </c>
      <c r="J93" s="1">
        <f>C93/AVERAGE(E93,E94)</f>
        <v>0.17442899400584669</v>
      </c>
      <c r="K93" s="1">
        <f>C93/AVERAGE(D93,D94)</f>
        <v>1.298999974159539E-2</v>
      </c>
      <c r="L93" s="1">
        <v>3.1E-2</v>
      </c>
      <c r="M93" s="1">
        <v>0.4</v>
      </c>
      <c r="N93" s="1">
        <f t="shared" si="0"/>
        <v>0.92143568802133824</v>
      </c>
      <c r="O93" s="3">
        <v>1.34</v>
      </c>
    </row>
    <row r="94" spans="1:15" x14ac:dyDescent="0.3">
      <c r="A94" t="s">
        <v>35</v>
      </c>
      <c r="B94">
        <v>2023</v>
      </c>
      <c r="C94" s="14">
        <v>8019</v>
      </c>
      <c r="D94" s="14">
        <v>775558</v>
      </c>
      <c r="E94" s="14">
        <v>55265</v>
      </c>
      <c r="F94" s="14">
        <v>388912</v>
      </c>
      <c r="G94" s="14">
        <v>413487</v>
      </c>
      <c r="H94" s="13">
        <v>23089</v>
      </c>
      <c r="I94" s="1">
        <v>0.12670000000000001</v>
      </c>
      <c r="J94" s="1">
        <f>C94/AVERAGE(E94,E95)</f>
        <v>0.15161369609196271</v>
      </c>
      <c r="K94" s="1">
        <f>C94/AVERAGE(D94,D95)</f>
        <v>1.0780761603871878E-2</v>
      </c>
      <c r="L94" s="1">
        <v>2.98E-2</v>
      </c>
      <c r="M94" s="1">
        <v>0.41700000000000004</v>
      </c>
      <c r="N94" s="1">
        <f t="shared" si="0"/>
        <v>0.94056645069857092</v>
      </c>
      <c r="O94" s="3">
        <v>1.49</v>
      </c>
    </row>
    <row r="95" spans="1:15" x14ac:dyDescent="0.3">
      <c r="A95" t="s">
        <v>35</v>
      </c>
      <c r="B95">
        <v>2022</v>
      </c>
      <c r="C95" s="14">
        <v>6420</v>
      </c>
      <c r="D95" s="14">
        <v>712092</v>
      </c>
      <c r="E95" s="14">
        <v>50517</v>
      </c>
      <c r="F95" s="14">
        <v>368588</v>
      </c>
      <c r="G95" s="14">
        <v>394404</v>
      </c>
      <c r="H95" s="13">
        <v>19124</v>
      </c>
      <c r="I95" s="1">
        <v>0.12609999999999999</v>
      </c>
      <c r="J95" s="1">
        <f>C95/AVERAGE(E95,E96)</f>
        <v>0.12933509272036825</v>
      </c>
      <c r="K95" s="1">
        <f>C95/AVERAGE(D95,D96)</f>
        <v>9.3383380231087509E-3</v>
      </c>
      <c r="L95" s="1">
        <v>2.7300000000000001E-2</v>
      </c>
      <c r="M95" s="1">
        <v>0.43200000000000005</v>
      </c>
      <c r="N95" s="1">
        <f t="shared" si="0"/>
        <v>0.9345442743988398</v>
      </c>
      <c r="O95" s="3">
        <v>1.59</v>
      </c>
    </row>
    <row r="96" spans="1:15" x14ac:dyDescent="0.3">
      <c r="A96" t="s">
        <v>35</v>
      </c>
      <c r="B96">
        <v>2021</v>
      </c>
      <c r="C96" s="14">
        <v>4653</v>
      </c>
      <c r="D96" s="14">
        <v>662885</v>
      </c>
      <c r="E96" s="14">
        <v>48760</v>
      </c>
      <c r="F96" s="14">
        <v>330055</v>
      </c>
      <c r="G96" s="14">
        <v>349761</v>
      </c>
      <c r="H96" s="13">
        <v>14686</v>
      </c>
      <c r="I96" s="1">
        <v>0.12609999999999999</v>
      </c>
      <c r="J96" s="1">
        <f>C96/AVERAGE(E96,50020)</f>
        <v>9.4209354120267264E-2</v>
      </c>
      <c r="K96" s="1">
        <f>C96/AVERAGE(D96,733797)</f>
        <v>6.6629340107483307E-3</v>
      </c>
      <c r="L96" s="1">
        <v>2.1400000000000002E-2</v>
      </c>
      <c r="M96" s="1">
        <v>0.45200000000000001</v>
      </c>
      <c r="N96" s="1">
        <f t="shared" si="0"/>
        <v>0.94365866977736224</v>
      </c>
      <c r="O96" s="3">
        <v>1.65</v>
      </c>
    </row>
    <row r="97" spans="1:15" x14ac:dyDescent="0.3">
      <c r="A97" t="s">
        <v>36</v>
      </c>
      <c r="B97">
        <v>2025</v>
      </c>
      <c r="C97" s="14">
        <v>10915</v>
      </c>
      <c r="D97" s="14">
        <v>870238</v>
      </c>
      <c r="E97" s="14">
        <v>67771</v>
      </c>
      <c r="F97" s="14">
        <v>433541</v>
      </c>
      <c r="G97" s="14">
        <v>535371</v>
      </c>
      <c r="H97" s="13">
        <v>13735</v>
      </c>
      <c r="I97" s="1">
        <v>0.14749999999999999</v>
      </c>
      <c r="J97" s="1">
        <f>C97/AVERAGE(E97,E98)</f>
        <v>0.16764967898503977</v>
      </c>
      <c r="K97" s="1">
        <f>C97/AVERAGE(D97,D98)</f>
        <v>1.3196376346387047E-2</v>
      </c>
      <c r="L97" s="1">
        <v>1.66E-2</v>
      </c>
      <c r="M97" s="1">
        <v>0.38500000000000001</v>
      </c>
      <c r="N97" s="1">
        <f t="shared" si="0"/>
        <v>0.8097954502578586</v>
      </c>
      <c r="O97" s="3">
        <v>1.43</v>
      </c>
    </row>
    <row r="98" spans="1:15" x14ac:dyDescent="0.3">
      <c r="A98" t="s">
        <v>36</v>
      </c>
      <c r="B98">
        <v>2024</v>
      </c>
      <c r="C98" s="14">
        <v>9719</v>
      </c>
      <c r="D98" s="14">
        <v>784004</v>
      </c>
      <c r="E98" s="14">
        <v>62441</v>
      </c>
      <c r="F98" s="14">
        <v>418378</v>
      </c>
      <c r="G98" s="14">
        <v>500970</v>
      </c>
      <c r="H98" s="13">
        <v>14671</v>
      </c>
      <c r="I98" s="1">
        <v>0.15960000000000002</v>
      </c>
      <c r="J98" s="1">
        <f>C98/AVERAGE(E98,E99)</f>
        <v>0.15363578880809359</v>
      </c>
      <c r="K98" s="1">
        <f>C98/AVERAGE(D98,D99)</f>
        <v>1.2388956377973432E-2</v>
      </c>
      <c r="L98" s="1">
        <v>1.77E-2</v>
      </c>
      <c r="M98" s="1">
        <v>0.379</v>
      </c>
      <c r="N98" s="1">
        <f t="shared" si="0"/>
        <v>0.83513583647723422</v>
      </c>
      <c r="O98" s="3">
        <v>1.44</v>
      </c>
    </row>
    <row r="99" spans="1:15" x14ac:dyDescent="0.3">
      <c r="A99" t="s">
        <v>36</v>
      </c>
      <c r="B99">
        <v>2023</v>
      </c>
      <c r="C99" s="14">
        <v>9507</v>
      </c>
      <c r="D99" s="14">
        <v>784974</v>
      </c>
      <c r="E99" s="14">
        <v>64079</v>
      </c>
      <c r="F99" s="14">
        <v>429452</v>
      </c>
      <c r="G99" s="14">
        <v>497394</v>
      </c>
      <c r="H99" s="13">
        <v>14348</v>
      </c>
      <c r="I99" s="1">
        <v>0.16140000000000002</v>
      </c>
      <c r="J99" s="1">
        <f>C99/AVERAGE(E99,E100)</f>
        <v>0.14922538416864178</v>
      </c>
      <c r="K99" s="1">
        <f>C99/AVERAGE(D99,D100)</f>
        <v>1.1574515126188026E-2</v>
      </c>
      <c r="L99" s="1">
        <v>1.83E-2</v>
      </c>
      <c r="M99" s="1">
        <v>0.39700000000000002</v>
      </c>
      <c r="N99" s="1">
        <f t="shared" si="0"/>
        <v>0.86340406197099284</v>
      </c>
      <c r="O99" s="3">
        <v>1.54</v>
      </c>
    </row>
    <row r="100" spans="1:15" x14ac:dyDescent="0.3">
      <c r="A100" t="s">
        <v>36</v>
      </c>
      <c r="B100">
        <v>2022</v>
      </c>
      <c r="C100" s="14">
        <v>6458</v>
      </c>
      <c r="D100" s="14">
        <v>857773</v>
      </c>
      <c r="E100" s="14">
        <v>63339</v>
      </c>
      <c r="F100" s="14">
        <v>455781</v>
      </c>
      <c r="G100" s="14">
        <v>594300</v>
      </c>
      <c r="H100" s="13">
        <v>10686</v>
      </c>
      <c r="I100" s="1">
        <v>0.16</v>
      </c>
      <c r="J100" s="1">
        <f>C100/AVERAGE(E100,E101)</f>
        <v>0.10335528579545</v>
      </c>
      <c r="K100" s="1">
        <f>C100/AVERAGE(D100,D101)</f>
        <v>7.2788997567688812E-3</v>
      </c>
      <c r="L100" s="1">
        <v>1.2199999999999999E-2</v>
      </c>
      <c r="M100" s="1">
        <v>0.47</v>
      </c>
      <c r="N100" s="1">
        <f t="shared" si="0"/>
        <v>0.76692074709742553</v>
      </c>
      <c r="O100" s="3">
        <v>1.61</v>
      </c>
    </row>
    <row r="101" spans="1:15" x14ac:dyDescent="0.3">
      <c r="A101" t="s">
        <v>36</v>
      </c>
      <c r="B101">
        <v>2021</v>
      </c>
      <c r="C101" s="14">
        <v>1540</v>
      </c>
      <c r="D101" s="14">
        <v>916671</v>
      </c>
      <c r="E101" s="14">
        <v>61628</v>
      </c>
      <c r="F101" s="14">
        <v>437544</v>
      </c>
      <c r="G101" s="14">
        <v>596402</v>
      </c>
      <c r="H101" s="13">
        <v>9060</v>
      </c>
      <c r="I101" s="1">
        <v>0.15029999999999999</v>
      </c>
      <c r="J101" s="1">
        <f>C101/AVERAGE(E101,59507)</f>
        <v>2.5426177405374169E-2</v>
      </c>
      <c r="K101" s="1">
        <f>C101/AVERAGE(D101,931456)</f>
        <v>1.6665521362979926E-3</v>
      </c>
      <c r="L101" s="1">
        <v>9.5999999999999992E-3</v>
      </c>
      <c r="M101" s="1">
        <v>0.54600000000000004</v>
      </c>
      <c r="N101" s="1">
        <f t="shared" si="0"/>
        <v>0.73363939088064767</v>
      </c>
      <c r="O101" s="3">
        <v>1.82</v>
      </c>
    </row>
    <row r="102" spans="1:15" x14ac:dyDescent="0.3">
      <c r="A102" t="s">
        <v>37</v>
      </c>
      <c r="B102">
        <v>2025</v>
      </c>
      <c r="C102" s="14">
        <v>9321</v>
      </c>
      <c r="D102" s="14">
        <v>1065000</v>
      </c>
      <c r="E102" s="14">
        <v>72000</v>
      </c>
      <c r="F102" s="14">
        <v>425000</v>
      </c>
      <c r="G102" s="14">
        <v>600000</v>
      </c>
      <c r="H102" s="13">
        <v>13500</v>
      </c>
      <c r="I102" s="1">
        <v>0.13200000000000001</v>
      </c>
      <c r="J102" s="1">
        <f>C102/AVERAGE(E102,E103)</f>
        <v>0.1322127659574468</v>
      </c>
      <c r="K102" s="1">
        <f>C102/AVERAGE(D102,D103)</f>
        <v>8.814184397163121E-3</v>
      </c>
      <c r="L102" t="s">
        <v>20</v>
      </c>
      <c r="M102" s="1">
        <v>0.42200000000000004</v>
      </c>
      <c r="N102" s="1">
        <f t="shared" si="0"/>
        <v>0.70833333333333337</v>
      </c>
      <c r="O102" s="3">
        <v>1.57</v>
      </c>
    </row>
    <row r="103" spans="1:15" x14ac:dyDescent="0.3">
      <c r="A103" t="s">
        <v>37</v>
      </c>
      <c r="B103">
        <v>2024</v>
      </c>
      <c r="C103" s="14">
        <v>8666</v>
      </c>
      <c r="D103" s="14">
        <v>1050000</v>
      </c>
      <c r="E103" s="14">
        <v>69000</v>
      </c>
      <c r="F103" s="14">
        <v>432000</v>
      </c>
      <c r="G103" s="14">
        <v>584000</v>
      </c>
      <c r="H103" s="13">
        <v>14000</v>
      </c>
      <c r="I103" s="1">
        <v>0.13300000000000001</v>
      </c>
      <c r="J103" s="1">
        <f>C103/AVERAGE(E103,E104)</f>
        <v>0.12934328358208955</v>
      </c>
      <c r="K103" s="1">
        <f>C103/AVERAGE(D103,D104)</f>
        <v>8.2651406771578444E-3</v>
      </c>
      <c r="L103" t="s">
        <v>20</v>
      </c>
      <c r="M103" s="1">
        <v>0.42700000000000005</v>
      </c>
      <c r="N103" s="1">
        <f t="shared" si="0"/>
        <v>0.73972602739726023</v>
      </c>
      <c r="O103" s="3">
        <v>1.32</v>
      </c>
    </row>
    <row r="104" spans="1:15" x14ac:dyDescent="0.3">
      <c r="A104" t="s">
        <v>37</v>
      </c>
      <c r="B104">
        <v>2023</v>
      </c>
      <c r="C104" s="14">
        <v>7724</v>
      </c>
      <c r="D104" s="14">
        <v>1047000</v>
      </c>
      <c r="E104" s="14">
        <v>65000</v>
      </c>
      <c r="F104" s="14">
        <v>422000</v>
      </c>
      <c r="G104" s="14">
        <v>570000</v>
      </c>
      <c r="H104" s="13">
        <v>14000</v>
      </c>
      <c r="I104" s="1">
        <v>0.14199999999999999</v>
      </c>
      <c r="J104" s="1">
        <f>C104/AVERAGE(E104,E105)</f>
        <v>0.1226031746031746</v>
      </c>
      <c r="K104" s="1">
        <f>C104/AVERAGE(D104,D105)</f>
        <v>7.2936732766761096E-3</v>
      </c>
      <c r="L104" t="s">
        <v>20</v>
      </c>
      <c r="M104" s="1">
        <v>0.44299999999999995</v>
      </c>
      <c r="N104" s="1">
        <f t="shared" si="0"/>
        <v>0.74035087719298243</v>
      </c>
      <c r="O104" s="3">
        <v>1.87</v>
      </c>
    </row>
    <row r="105" spans="1:15" x14ac:dyDescent="0.3">
      <c r="A105" t="s">
        <v>37</v>
      </c>
      <c r="B105">
        <v>2022</v>
      </c>
      <c r="C105" s="14">
        <v>4379</v>
      </c>
      <c r="D105" s="14">
        <v>1071000</v>
      </c>
      <c r="E105" s="14">
        <v>61000</v>
      </c>
      <c r="F105" s="14">
        <v>430000</v>
      </c>
      <c r="G105" s="14">
        <v>560000</v>
      </c>
      <c r="H105" s="13">
        <v>9500</v>
      </c>
      <c r="I105" s="1">
        <v>0.128</v>
      </c>
      <c r="J105" s="1">
        <f>C105/AVERAGE(E105,E106)</f>
        <v>7.2983333333333331E-2</v>
      </c>
      <c r="K105" s="1">
        <f>C105/AVERAGE(D105,D106)</f>
        <v>4.0791802515137403E-3</v>
      </c>
      <c r="L105" t="s">
        <v>20</v>
      </c>
      <c r="M105" s="1">
        <v>0.55700000000000005</v>
      </c>
      <c r="N105" s="1">
        <f t="shared" si="0"/>
        <v>0.7678571428571429</v>
      </c>
      <c r="O105" s="3">
        <v>1.91</v>
      </c>
    </row>
    <row r="106" spans="1:15" x14ac:dyDescent="0.3">
      <c r="A106" t="s">
        <v>37</v>
      </c>
      <c r="B106">
        <v>2021</v>
      </c>
      <c r="C106" s="14">
        <v>4185</v>
      </c>
      <c r="D106" s="14">
        <v>1076000</v>
      </c>
      <c r="E106" s="14">
        <v>59000</v>
      </c>
      <c r="F106" s="14">
        <v>465000</v>
      </c>
      <c r="G106" s="14">
        <v>556000</v>
      </c>
      <c r="H106" s="13">
        <v>7900</v>
      </c>
      <c r="I106" s="1">
        <v>0.14699999999999999</v>
      </c>
      <c r="J106" s="1">
        <f>C106/AVERAGE(E106,65871)</f>
        <v>6.7029174107679126E-2</v>
      </c>
      <c r="K106" s="1">
        <f>C106/AVERAGE(D106,1034002)</f>
        <v>3.9668208845299669E-3</v>
      </c>
      <c r="L106" t="s">
        <v>20</v>
      </c>
      <c r="M106" s="1">
        <v>0.54600000000000004</v>
      </c>
      <c r="N106" s="1">
        <f t="shared" si="0"/>
        <v>0.83633093525179858</v>
      </c>
      <c r="O106" s="3">
        <v>2.09</v>
      </c>
    </row>
    <row r="107" spans="1:15" x14ac:dyDescent="0.3">
      <c r="A107" t="s">
        <v>38</v>
      </c>
      <c r="B107">
        <v>2025</v>
      </c>
      <c r="C107" s="8">
        <v>7767</v>
      </c>
      <c r="D107" s="8">
        <v>1617427</v>
      </c>
      <c r="E107" s="8">
        <v>90484</v>
      </c>
      <c r="F107" s="8">
        <v>656336</v>
      </c>
      <c r="G107" s="8">
        <v>788367</v>
      </c>
      <c r="H107" s="8">
        <v>7747</v>
      </c>
      <c r="I107" s="1">
        <v>0.14400000000000002</v>
      </c>
      <c r="J107" s="1">
        <f>C107/AVERAGE(E107,E108)</f>
        <v>8.8232287087209899E-2</v>
      </c>
      <c r="K107" s="1">
        <f>C107/AVERAGE(D107,D108)</f>
        <v>4.8811373609367612E-3</v>
      </c>
      <c r="L107" s="1">
        <v>4.7999999999999996E-3</v>
      </c>
      <c r="M107" s="1">
        <v>0.81099999999999994</v>
      </c>
      <c r="N107" s="1">
        <f t="shared" si="0"/>
        <v>0.83252596823560598</v>
      </c>
      <c r="O107" s="3">
        <v>1.8259999999999998</v>
      </c>
    </row>
    <row r="108" spans="1:15" x14ac:dyDescent="0.3">
      <c r="A108" t="s">
        <v>38</v>
      </c>
      <c r="B108">
        <v>2024</v>
      </c>
      <c r="C108" s="8">
        <v>5085</v>
      </c>
      <c r="D108" s="8">
        <v>1565028</v>
      </c>
      <c r="E108" s="8">
        <v>85574</v>
      </c>
      <c r="F108" s="8">
        <v>641367</v>
      </c>
      <c r="G108" s="8">
        <v>745777</v>
      </c>
      <c r="H108" s="8">
        <v>7108</v>
      </c>
      <c r="I108" s="1">
        <v>0.14300000000000002</v>
      </c>
      <c r="J108" s="1">
        <f>C108/AVERAGE(E108,E109)</f>
        <v>5.905477519118766E-2</v>
      </c>
      <c r="K108" s="1">
        <f>C108/AVERAGE(D108,D109)</f>
        <v>3.098765612659783E-3</v>
      </c>
      <c r="L108" s="1">
        <v>4.4999999999999997E-3</v>
      </c>
      <c r="M108" s="1">
        <v>0.84799999999999998</v>
      </c>
      <c r="N108" s="1">
        <f t="shared" si="0"/>
        <v>0.85999836412225106</v>
      </c>
      <c r="O108" s="3">
        <v>1.88</v>
      </c>
    </row>
    <row r="109" spans="1:15" x14ac:dyDescent="0.3">
      <c r="A109" t="s">
        <v>38</v>
      </c>
      <c r="B109">
        <v>2023</v>
      </c>
      <c r="C109" s="8">
        <v>27849</v>
      </c>
      <c r="D109" s="8">
        <v>1716924</v>
      </c>
      <c r="E109" s="8">
        <v>86639</v>
      </c>
      <c r="F109" s="8">
        <v>639844</v>
      </c>
      <c r="G109" s="8">
        <v>792029</v>
      </c>
      <c r="H109" s="8">
        <v>7297</v>
      </c>
      <c r="I109" s="1">
        <v>0.14300000000000002</v>
      </c>
      <c r="J109" s="1">
        <f>C109/AVERAGE(E109,E110)</f>
        <v>0.3871761540974718</v>
      </c>
      <c r="K109" s="1">
        <f>C109/AVERAGE(D109,D110)</f>
        <v>1.9742046894893395E-2</v>
      </c>
      <c r="L109" s="1">
        <v>4.4999999999999997E-3</v>
      </c>
      <c r="M109" s="1">
        <v>0.95</v>
      </c>
      <c r="N109" s="1">
        <f t="shared" si="0"/>
        <v>0.80785425786177023</v>
      </c>
      <c r="O109" s="3">
        <v>2.15</v>
      </c>
    </row>
    <row r="110" spans="1:15" x14ac:dyDescent="0.3">
      <c r="A110" t="s">
        <v>38</v>
      </c>
      <c r="B110">
        <v>2022</v>
      </c>
      <c r="C110" s="8">
        <v>7630</v>
      </c>
      <c r="D110" s="8">
        <v>1104364</v>
      </c>
      <c r="E110" s="8">
        <v>57218</v>
      </c>
      <c r="F110" s="8">
        <v>387220</v>
      </c>
      <c r="G110" s="8">
        <v>525051</v>
      </c>
      <c r="H110" s="8">
        <v>6621</v>
      </c>
      <c r="I110" s="1">
        <v>0.14199999999999999</v>
      </c>
      <c r="J110" s="1">
        <f>C110/AVERAGE(E110,E111)</f>
        <v>0.12908137371003214</v>
      </c>
      <c r="K110" s="1">
        <f>C110/AVERAGE(D110,D111)</f>
        <v>6.8690902641673863E-3</v>
      </c>
      <c r="L110" s="1">
        <v>6.0000000000000001E-3</v>
      </c>
      <c r="M110" s="1">
        <v>0.72099999999999997</v>
      </c>
      <c r="N110" s="1">
        <f t="shared" si="0"/>
        <v>0.73749026285065644</v>
      </c>
      <c r="O110" s="3">
        <v>1.64</v>
      </c>
    </row>
    <row r="111" spans="1:15" x14ac:dyDescent="0.3">
      <c r="A111" t="s">
        <v>38</v>
      </c>
      <c r="B111">
        <v>2021</v>
      </c>
      <c r="C111" s="8">
        <v>7457</v>
      </c>
      <c r="D111" s="8">
        <v>1117182</v>
      </c>
      <c r="E111" s="8">
        <v>61002</v>
      </c>
      <c r="F111" s="8">
        <v>397761</v>
      </c>
      <c r="G111" s="8">
        <v>542007</v>
      </c>
      <c r="H111" s="8">
        <v>6705</v>
      </c>
      <c r="I111" s="1">
        <v>0.15</v>
      </c>
      <c r="J111" s="1">
        <f>C111/AVERAGE(E111,59445)</f>
        <v>0.12382209602563783</v>
      </c>
      <c r="K111" s="1">
        <f>C111/AVERAGE(D111,1125765)</f>
        <v>6.6492877450960719E-3</v>
      </c>
      <c r="L111" s="1">
        <v>6.0000000000000001E-3</v>
      </c>
      <c r="M111" s="1">
        <v>0.73599999999999999</v>
      </c>
      <c r="N111" s="1">
        <f t="shared" si="0"/>
        <v>0.73386690577796965</v>
      </c>
      <c r="O111" s="3">
        <v>1.55</v>
      </c>
    </row>
    <row r="112" spans="1:15" ht="28.8" x14ac:dyDescent="0.3">
      <c r="A112" s="15" t="s">
        <v>39</v>
      </c>
      <c r="B112">
        <v>2025</v>
      </c>
      <c r="C112" s="16">
        <v>10133</v>
      </c>
      <c r="D112" s="16">
        <v>1353799</v>
      </c>
      <c r="E112" s="16">
        <v>78776</v>
      </c>
      <c r="F112" s="16">
        <v>1007756</v>
      </c>
      <c r="G112" s="16">
        <v>937857</v>
      </c>
      <c r="H112" s="16">
        <v>24023</v>
      </c>
      <c r="I112" s="1">
        <v>0.12300000000000001</v>
      </c>
      <c r="J112" s="1">
        <f>C112/AVERAGE(E112,E113)</f>
        <v>0.13344834852236212</v>
      </c>
      <c r="K112" s="1">
        <f>C112/AVERAGE(D112,D113)</f>
        <v>7.7710779849494323E-3</v>
      </c>
      <c r="L112" s="1">
        <v>1.84E-2</v>
      </c>
      <c r="M112" s="1">
        <v>0.45700000000000002</v>
      </c>
      <c r="N112" s="1">
        <f t="shared" si="0"/>
        <v>1.074530552099094</v>
      </c>
      <c r="O112" s="3">
        <v>1.3</v>
      </c>
    </row>
    <row r="113" spans="1:16" ht="28.8" x14ac:dyDescent="0.3">
      <c r="A113" s="15" t="s">
        <v>39</v>
      </c>
      <c r="B113">
        <v>2024</v>
      </c>
      <c r="C113" s="16">
        <v>9481</v>
      </c>
      <c r="D113" s="16">
        <v>1254076</v>
      </c>
      <c r="E113" s="16">
        <v>73088</v>
      </c>
      <c r="F113" s="16">
        <v>947488</v>
      </c>
      <c r="G113" s="16">
        <v>881621</v>
      </c>
      <c r="H113" s="16">
        <v>22824</v>
      </c>
      <c r="I113" s="1">
        <v>0.12300000000000001</v>
      </c>
      <c r="J113" s="1">
        <f>C113/AVERAGE(E113,E114)</f>
        <v>0.13099736789383148</v>
      </c>
      <c r="K113" s="1">
        <f>C113/AVERAGE(D113,D114)</f>
        <v>7.5651336784893991E-3</v>
      </c>
      <c r="L113" s="1">
        <v>1.7500000000000002E-2</v>
      </c>
      <c r="M113" s="1">
        <v>0.44</v>
      </c>
      <c r="N113" s="1">
        <f t="shared" si="0"/>
        <v>1.0747112421323903</v>
      </c>
      <c r="O113" s="3">
        <v>1.36</v>
      </c>
    </row>
    <row r="114" spans="1:16" ht="28.8" x14ac:dyDescent="0.3">
      <c r="A114" s="15" t="s">
        <v>39</v>
      </c>
      <c r="B114">
        <v>2023</v>
      </c>
      <c r="C114" s="16">
        <v>10188</v>
      </c>
      <c r="D114" s="16">
        <v>1252423</v>
      </c>
      <c r="E114" s="16">
        <v>71663</v>
      </c>
      <c r="F114" s="16">
        <v>930772</v>
      </c>
      <c r="G114" s="16">
        <v>864995</v>
      </c>
      <c r="H114" s="16">
        <v>23056</v>
      </c>
      <c r="I114" s="1">
        <v>0.122</v>
      </c>
      <c r="J114" s="1">
        <f>C114/AVERAGE(E114,E115)</f>
        <v>0.14115886607365533</v>
      </c>
      <c r="K114" s="1">
        <f>C114/AVERAGE(D114,D115)</f>
        <v>8.2571383763635764E-3</v>
      </c>
      <c r="L114" s="1">
        <v>1.84E-2</v>
      </c>
      <c r="M114" s="1">
        <v>0.43099999999999999</v>
      </c>
      <c r="N114" s="1">
        <f t="shared" si="0"/>
        <v>1.076043214122625</v>
      </c>
      <c r="O114" s="3">
        <v>1.31</v>
      </c>
    </row>
    <row r="115" spans="1:16" ht="28.8" x14ac:dyDescent="0.3">
      <c r="A115" s="15" t="s">
        <v>39</v>
      </c>
      <c r="B115">
        <v>2022</v>
      </c>
      <c r="C115" s="16">
        <v>9673</v>
      </c>
      <c r="D115" s="16">
        <v>1215260</v>
      </c>
      <c r="E115" s="16">
        <v>72685</v>
      </c>
      <c r="F115" s="16">
        <v>884963</v>
      </c>
      <c r="G115" s="16">
        <v>857586</v>
      </c>
      <c r="H115" s="16">
        <v>19473</v>
      </c>
      <c r="I115" s="1">
        <v>0.115</v>
      </c>
      <c r="J115" s="1">
        <f>C115/AVERAGE(E115,E116)</f>
        <v>0.13129462225479815</v>
      </c>
      <c r="K115" s="1">
        <f>C115/AVERAGE(D115,D116)</f>
        <v>8.1798743632860386E-3</v>
      </c>
      <c r="L115" s="1">
        <v>1.6500000000000001E-2</v>
      </c>
      <c r="M115" s="1">
        <v>0.46700000000000003</v>
      </c>
      <c r="N115" s="1">
        <f t="shared" si="0"/>
        <v>1.0319233289722547</v>
      </c>
      <c r="O115" s="3">
        <v>1.3</v>
      </c>
    </row>
    <row r="116" spans="1:16" ht="28.8" x14ac:dyDescent="0.3">
      <c r="A116" s="15" t="s">
        <v>39</v>
      </c>
      <c r="B116">
        <v>2021</v>
      </c>
      <c r="C116" s="16">
        <v>8843</v>
      </c>
      <c r="D116" s="16">
        <v>1149813</v>
      </c>
      <c r="E116" s="16">
        <v>74663</v>
      </c>
      <c r="F116" s="16">
        <v>850509</v>
      </c>
      <c r="G116" s="16">
        <v>786267</v>
      </c>
      <c r="H116" s="16">
        <v>19302</v>
      </c>
      <c r="I116" s="1">
        <v>0.13100000000000001</v>
      </c>
      <c r="J116" s="1">
        <f>C116/AVERAGE(E116,71908)</f>
        <v>0.12066507017077048</v>
      </c>
      <c r="K116" s="1">
        <f>C116/AVERAGE(D116,1015484)</f>
        <v>8.1679326207905883E-3</v>
      </c>
      <c r="L116" s="1">
        <v>1.6299999999999999E-2</v>
      </c>
      <c r="M116" s="1">
        <v>0.47600000000000003</v>
      </c>
      <c r="N116" s="1">
        <f t="shared" si="0"/>
        <v>1.0817050696519122</v>
      </c>
      <c r="O116" s="3">
        <v>1.29</v>
      </c>
    </row>
    <row r="117" spans="1:16" ht="28.8" x14ac:dyDescent="0.3">
      <c r="A117" s="15" t="s">
        <v>40</v>
      </c>
      <c r="B117">
        <v>2025</v>
      </c>
      <c r="C117" s="16">
        <v>8000</v>
      </c>
      <c r="D117" s="16">
        <v>2715000</v>
      </c>
      <c r="E117" s="16">
        <v>128750</v>
      </c>
      <c r="F117" s="16">
        <v>870600</v>
      </c>
      <c r="G117" s="16">
        <v>1668100</v>
      </c>
      <c r="H117" s="16">
        <v>1668100</v>
      </c>
      <c r="I117" s="1">
        <v>0.14099999999999999</v>
      </c>
      <c r="J117" s="1">
        <f>C117/AVERAGE(E117,E118)</f>
        <v>6.334125098970704E-2</v>
      </c>
      <c r="K117" s="1">
        <f>C117/AVERAGE(D117,D118)</f>
        <v>2.9861888764464353E-3</v>
      </c>
      <c r="L117" s="1" t="s">
        <v>41</v>
      </c>
      <c r="M117" s="1">
        <v>0.53</v>
      </c>
      <c r="N117" s="1">
        <f t="shared" si="0"/>
        <v>0.52191115640549124</v>
      </c>
      <c r="O117" s="3">
        <v>1.64</v>
      </c>
      <c r="P117" s="17">
        <v>149.52000000000001</v>
      </c>
    </row>
    <row r="118" spans="1:16" ht="28.8" x14ac:dyDescent="0.3">
      <c r="A118" s="15" t="s">
        <v>40</v>
      </c>
      <c r="B118">
        <v>2024</v>
      </c>
      <c r="C118" s="16">
        <v>8900</v>
      </c>
      <c r="D118" s="16">
        <v>2643000</v>
      </c>
      <c r="E118" s="16">
        <v>123850</v>
      </c>
      <c r="F118" s="16">
        <v>842500</v>
      </c>
      <c r="G118" s="16">
        <v>1652700</v>
      </c>
      <c r="H118" s="16">
        <v>1652700</v>
      </c>
      <c r="I118" s="1">
        <v>0.13500000000000001</v>
      </c>
      <c r="J118" s="1">
        <f t="shared" ref="J118:J121" si="1">C118/AVERAGE(E118,E119)</f>
        <v>7.6486765211412858E-2</v>
      </c>
      <c r="K118" s="1">
        <f t="shared" ref="K118:K121" si="2">C118/AVERAGE(D118,D119)</f>
        <v>3.4449390361912134E-3</v>
      </c>
      <c r="L118" s="1">
        <v>4.4000000000000003E-3</v>
      </c>
      <c r="M118" s="1">
        <v>0.57999999999999996</v>
      </c>
      <c r="N118" s="1">
        <f t="shared" si="0"/>
        <v>0.50977188842500154</v>
      </c>
      <c r="O118" s="3">
        <v>1.62</v>
      </c>
      <c r="P118" s="18">
        <v>151.41</v>
      </c>
    </row>
    <row r="119" spans="1:16" ht="28.8" x14ac:dyDescent="0.3">
      <c r="A119" s="15" t="s">
        <v>40</v>
      </c>
      <c r="B119">
        <v>2023</v>
      </c>
      <c r="C119" s="16">
        <v>2522</v>
      </c>
      <c r="D119" s="16">
        <v>2524000</v>
      </c>
      <c r="E119" s="16">
        <v>108870</v>
      </c>
      <c r="F119" s="16">
        <v>785400</v>
      </c>
      <c r="G119" s="16">
        <v>1554700</v>
      </c>
      <c r="H119" s="16">
        <v>1554700</v>
      </c>
      <c r="I119" s="1">
        <v>0.107</v>
      </c>
      <c r="J119" s="1">
        <f t="shared" si="1"/>
        <v>2.184306253247878E-2</v>
      </c>
      <c r="K119" s="1">
        <f t="shared" si="2"/>
        <v>9.5584612469205984E-4</v>
      </c>
      <c r="L119" s="1">
        <v>4.3E-3</v>
      </c>
      <c r="M119" s="1">
        <v>0.61</v>
      </c>
      <c r="N119" s="1">
        <f t="shared" si="0"/>
        <v>0.50517784781629893</v>
      </c>
      <c r="O119" s="3">
        <v>1.49</v>
      </c>
      <c r="P119" s="18">
        <v>133.53</v>
      </c>
    </row>
    <row r="120" spans="1:16" ht="28.8" x14ac:dyDescent="0.3">
      <c r="A120" s="15" t="s">
        <v>40</v>
      </c>
      <c r="B120">
        <v>2022</v>
      </c>
      <c r="C120" s="16">
        <v>3554</v>
      </c>
      <c r="D120" s="16">
        <v>2753000</v>
      </c>
      <c r="E120" s="16">
        <v>122050</v>
      </c>
      <c r="F120" s="16">
        <v>836400</v>
      </c>
      <c r="G120" s="16">
        <v>1682100</v>
      </c>
      <c r="H120" s="16">
        <v>1682100</v>
      </c>
      <c r="I120" s="1">
        <v>0.11</v>
      </c>
      <c r="J120" s="1">
        <f t="shared" si="1"/>
        <v>2.7898579166339588E-2</v>
      </c>
      <c r="K120" s="1">
        <f t="shared" si="2"/>
        <v>1.2596136806663123E-3</v>
      </c>
      <c r="L120" s="1">
        <v>4.3E-3</v>
      </c>
      <c r="M120" s="1">
        <v>0.6</v>
      </c>
      <c r="N120" s="1">
        <f t="shared" si="0"/>
        <v>0.49723559835919384</v>
      </c>
      <c r="O120" s="3">
        <v>1.44</v>
      </c>
      <c r="P120" s="18">
        <v>122.39</v>
      </c>
    </row>
    <row r="121" spans="1:16" ht="28.8" x14ac:dyDescent="0.3">
      <c r="A121" s="15" t="s">
        <v>40</v>
      </c>
      <c r="B121">
        <v>2021</v>
      </c>
      <c r="C121" s="16">
        <v>7130</v>
      </c>
      <c r="D121" s="16">
        <v>2890000</v>
      </c>
      <c r="E121" s="16">
        <v>132730</v>
      </c>
      <c r="F121" s="16">
        <v>933800</v>
      </c>
      <c r="G121" s="16">
        <v>1870400</v>
      </c>
      <c r="H121" s="16">
        <v>1870400</v>
      </c>
      <c r="I121" s="1">
        <v>0.12300000000000001</v>
      </c>
      <c r="J121" s="1">
        <f>C121/AVERAGE(E121,142214)</f>
        <v>5.1865107076350093E-2</v>
      </c>
      <c r="K121" s="1">
        <f>C121/AVERAGE(D121,2996597)</f>
        <v>2.422452224944225E-3</v>
      </c>
      <c r="L121" s="1">
        <v>4.5999999999999999E-3</v>
      </c>
      <c r="M121" s="1">
        <v>0.56999999999999995</v>
      </c>
      <c r="N121" s="1">
        <f t="shared" si="0"/>
        <v>0.49925149700598803</v>
      </c>
      <c r="O121" s="3">
        <v>1.37</v>
      </c>
      <c r="P121" s="18">
        <v>110.71</v>
      </c>
    </row>
    <row r="122" spans="1:16" ht="43.2" x14ac:dyDescent="0.3">
      <c r="A122" s="15" t="s">
        <v>43</v>
      </c>
      <c r="B122">
        <v>2025</v>
      </c>
      <c r="C122" s="16">
        <v>3384</v>
      </c>
      <c r="D122" s="16">
        <v>1914330</v>
      </c>
      <c r="E122" s="16">
        <v>108037</v>
      </c>
      <c r="F122" s="16">
        <v>820278</v>
      </c>
      <c r="G122" s="16">
        <v>1245071</v>
      </c>
      <c r="H122" s="16">
        <v>16475</v>
      </c>
      <c r="I122" s="1">
        <v>0.1244</v>
      </c>
      <c r="J122" s="1">
        <f>C122/AVERAGE(E122,E123)</f>
        <v>3.0676487252124646E-2</v>
      </c>
      <c r="K122" s="1">
        <f>C122/AVERAGE(D122,D123)</f>
        <v>1.7535336890664532E-3</v>
      </c>
      <c r="L122" s="1">
        <v>8.5000000000000006E-3</v>
      </c>
      <c r="M122" s="1">
        <v>0.503</v>
      </c>
      <c r="N122" s="1">
        <f t="shared" si="0"/>
        <v>0.65882026004942695</v>
      </c>
      <c r="O122" s="3">
        <v>1.38</v>
      </c>
      <c r="P122" s="18">
        <v>152.62</v>
      </c>
    </row>
    <row r="123" spans="1:16" ht="43.2" x14ac:dyDescent="0.3">
      <c r="A123" s="15" t="s">
        <v>43</v>
      </c>
      <c r="B123">
        <v>2024</v>
      </c>
      <c r="C123" s="16">
        <v>6195</v>
      </c>
      <c r="D123" s="16">
        <v>1945305</v>
      </c>
      <c r="E123" s="16">
        <v>112588</v>
      </c>
      <c r="F123" s="16">
        <v>841804</v>
      </c>
      <c r="G123" s="16">
        <v>1259405</v>
      </c>
      <c r="H123" s="16">
        <v>13077</v>
      </c>
      <c r="I123" s="1">
        <v>0.12909999999999999</v>
      </c>
      <c r="J123" s="1">
        <f t="shared" ref="J123:J126" si="3">C123/AVERAGE(E123,E124)</f>
        <v>5.8310272773479416E-2</v>
      </c>
      <c r="K123" s="1">
        <f t="shared" ref="K123:K126" si="4">C123/AVERAGE(D123,D124)</f>
        <v>3.2207634483120756E-3</v>
      </c>
      <c r="L123" s="1">
        <v>6.7999999999999996E-3</v>
      </c>
      <c r="M123" s="1">
        <v>0.57499999999999996</v>
      </c>
      <c r="N123" s="1">
        <f t="shared" si="0"/>
        <v>0.66841405266772802</v>
      </c>
      <c r="O123" s="3">
        <v>1.31</v>
      </c>
      <c r="P123" s="18">
        <v>144.59</v>
      </c>
    </row>
    <row r="124" spans="1:16" ht="43.2" x14ac:dyDescent="0.3">
      <c r="A124" s="15" t="s">
        <v>43</v>
      </c>
      <c r="B124">
        <v>2023</v>
      </c>
      <c r="C124" s="16">
        <v>6906</v>
      </c>
      <c r="D124" s="16">
        <v>1901609</v>
      </c>
      <c r="E124" s="16">
        <v>99896</v>
      </c>
      <c r="F124" s="16">
        <v>825704</v>
      </c>
      <c r="G124" s="16">
        <v>1276126</v>
      </c>
      <c r="H124" s="16">
        <v>12952</v>
      </c>
      <c r="I124" s="1">
        <v>0.14019999999999999</v>
      </c>
      <c r="J124" s="1">
        <f t="shared" si="3"/>
        <v>6.4659288803999779E-2</v>
      </c>
      <c r="K124" s="1">
        <f t="shared" si="4"/>
        <v>3.3610369864940431E-3</v>
      </c>
      <c r="L124" s="1">
        <v>6.3E-3</v>
      </c>
      <c r="M124" s="1">
        <v>0.55799999999999994</v>
      </c>
      <c r="N124" s="1">
        <f t="shared" si="0"/>
        <v>0.64703955565516258</v>
      </c>
      <c r="O124" s="3">
        <v>1.3</v>
      </c>
      <c r="P124" s="18">
        <v>135.47</v>
      </c>
    </row>
    <row r="125" spans="1:16" ht="43.2" x14ac:dyDescent="0.3">
      <c r="A125" s="15" t="s">
        <v>43</v>
      </c>
      <c r="B125">
        <v>2022</v>
      </c>
      <c r="C125" s="16">
        <v>4583</v>
      </c>
      <c r="D125" s="16">
        <v>2207837</v>
      </c>
      <c r="E125" s="16">
        <v>113716</v>
      </c>
      <c r="F125" s="16">
        <v>930924</v>
      </c>
      <c r="G125" s="16">
        <v>1446561</v>
      </c>
      <c r="H125" s="16">
        <v>12846</v>
      </c>
      <c r="I125" s="1">
        <v>0.14449999999999999</v>
      </c>
      <c r="J125" s="1">
        <f t="shared" si="3"/>
        <v>3.995484048141093E-2</v>
      </c>
      <c r="K125" s="1">
        <f t="shared" si="4"/>
        <v>2.0724638828060792E-3</v>
      </c>
      <c r="L125" s="1">
        <v>5.7999999999999996E-3</v>
      </c>
      <c r="M125" s="1">
        <v>0.57100000000000006</v>
      </c>
      <c r="N125" s="1">
        <f t="shared" si="0"/>
        <v>0.64354285785390319</v>
      </c>
      <c r="O125" s="3">
        <v>1.42</v>
      </c>
      <c r="P125" s="18">
        <v>112.4</v>
      </c>
    </row>
    <row r="126" spans="1:16" ht="43.2" x14ac:dyDescent="0.3">
      <c r="A126" s="15" t="s">
        <v>43</v>
      </c>
      <c r="B126">
        <v>2021</v>
      </c>
      <c r="C126" s="16">
        <v>6645</v>
      </c>
      <c r="D126" s="16">
        <v>2214918</v>
      </c>
      <c r="E126" s="16">
        <v>115693</v>
      </c>
      <c r="F126" s="16">
        <v>920883</v>
      </c>
      <c r="G126" s="16">
        <v>1465401</v>
      </c>
      <c r="H126" s="16">
        <v>13034</v>
      </c>
      <c r="I126" s="1">
        <v>0.16</v>
      </c>
      <c r="J126" s="1">
        <f>C126/AVERAGE(E126,115693)</f>
        <v>5.7436491403974312E-2</v>
      </c>
      <c r="K126" s="1">
        <f>C126/AVERAGE(D126,2214918)</f>
        <v>3.0001110650597447E-3</v>
      </c>
      <c r="L126" s="1">
        <v>6.1999999999999998E-3</v>
      </c>
      <c r="M126" s="1">
        <v>0.57899999999999996</v>
      </c>
      <c r="N126" s="1">
        <f t="shared" si="0"/>
        <v>0.62841706809262443</v>
      </c>
      <c r="O126" s="3">
        <v>1.4</v>
      </c>
      <c r="P126" s="18">
        <v>106.11</v>
      </c>
    </row>
    <row r="127" spans="1:16" ht="43.2" x14ac:dyDescent="0.3">
      <c r="A127" s="15" t="s">
        <v>44</v>
      </c>
      <c r="B127">
        <v>2025</v>
      </c>
      <c r="C127" s="16">
        <v>51272</v>
      </c>
      <c r="D127" s="16">
        <v>7439454</v>
      </c>
      <c r="E127" s="16">
        <v>594294</v>
      </c>
      <c r="F127" s="16">
        <v>4243798</v>
      </c>
      <c r="G127" s="16">
        <v>5190554</v>
      </c>
      <c r="H127" s="16">
        <v>88354</v>
      </c>
      <c r="I127" s="1">
        <v>0.13570000000000002</v>
      </c>
      <c r="J127" s="1">
        <f>C127/AVERAGE(E127,E128)</f>
        <v>8.9248242999194941E-2</v>
      </c>
      <c r="K127" s="1">
        <f>C127/AVERAGE(D127,D128)</f>
        <v>7.2055795177832583E-3</v>
      </c>
      <c r="L127" s="1">
        <v>1.1899999999999999E-2</v>
      </c>
      <c r="M127" s="1">
        <v>0.29480000000000001</v>
      </c>
      <c r="N127" s="1">
        <f t="shared" si="0"/>
        <v>0.8176002022134824</v>
      </c>
      <c r="O127" s="3">
        <v>1.39</v>
      </c>
      <c r="P127" s="19">
        <v>7.1883999999999997</v>
      </c>
    </row>
    <row r="128" spans="1:16" ht="43.2" x14ac:dyDescent="0.3">
      <c r="A128" s="15" t="s">
        <v>44</v>
      </c>
      <c r="B128">
        <v>2024</v>
      </c>
      <c r="C128" s="16">
        <v>50896</v>
      </c>
      <c r="D128" s="16">
        <v>6791740</v>
      </c>
      <c r="E128" s="16">
        <v>554681</v>
      </c>
      <c r="F128" s="16">
        <v>3946946</v>
      </c>
      <c r="G128" s="16">
        <v>4846276</v>
      </c>
      <c r="H128" s="16">
        <v>88671</v>
      </c>
      <c r="I128" s="1">
        <v>0.14099999999999999</v>
      </c>
      <c r="J128" s="1">
        <f t="shared" ref="J128:J131" si="5">C128/AVERAGE(E128,E129)</f>
        <v>9.3567939523519758E-2</v>
      </c>
      <c r="K128" s="1">
        <f t="shared" ref="K128:K131" si="6">C128/AVERAGE(D128,D129)</f>
        <v>7.7689109237335224E-3</v>
      </c>
      <c r="L128" s="1">
        <v>1.2800000000000001E-2</v>
      </c>
      <c r="M128" s="1">
        <v>0.29430000000000001</v>
      </c>
      <c r="N128" s="1">
        <f t="shared" si="0"/>
        <v>0.81442864583032415</v>
      </c>
      <c r="O128" s="3">
        <v>1.4</v>
      </c>
      <c r="P128" s="19">
        <v>7.1883999999999997</v>
      </c>
    </row>
    <row r="129" spans="1:16" ht="43.2" x14ac:dyDescent="0.3">
      <c r="A129" s="15" t="s">
        <v>44</v>
      </c>
      <c r="B129">
        <v>2023</v>
      </c>
      <c r="C129" s="16">
        <v>51392</v>
      </c>
      <c r="D129" s="16">
        <v>6310740</v>
      </c>
      <c r="E129" s="16">
        <v>533213</v>
      </c>
      <c r="F129" s="16">
        <v>3683127</v>
      </c>
      <c r="G129" s="16">
        <v>4732824</v>
      </c>
      <c r="H129" s="16">
        <v>92481</v>
      </c>
      <c r="I129" s="1">
        <v>0.13720000000000002</v>
      </c>
      <c r="J129" s="1">
        <f t="shared" si="5"/>
        <v>9.9024247375641639E-2</v>
      </c>
      <c r="K129" s="1">
        <f t="shared" si="6"/>
        <v>8.566694009898573E-3</v>
      </c>
      <c r="L129" s="1">
        <v>1.4800000000000001E-2</v>
      </c>
      <c r="M129" s="1">
        <v>0.2828</v>
      </c>
      <c r="N129" s="1">
        <f t="shared" si="0"/>
        <v>0.77820916222534364</v>
      </c>
      <c r="O129" s="3">
        <v>1.22</v>
      </c>
      <c r="P129" s="19">
        <v>7.0827</v>
      </c>
    </row>
    <row r="130" spans="1:16" ht="43.2" x14ac:dyDescent="0.3">
      <c r="A130" s="15" t="s">
        <v>44</v>
      </c>
      <c r="B130">
        <v>2022</v>
      </c>
      <c r="C130" s="16">
        <v>51583</v>
      </c>
      <c r="D130" s="16">
        <v>5687354</v>
      </c>
      <c r="E130" s="16">
        <v>504755</v>
      </c>
      <c r="F130" s="16">
        <v>3332622</v>
      </c>
      <c r="G130" s="16">
        <v>4288903</v>
      </c>
      <c r="H130" s="16">
        <v>99357</v>
      </c>
      <c r="I130" s="1">
        <v>0.1404</v>
      </c>
      <c r="J130" s="1">
        <f t="shared" si="5"/>
        <v>0.10129557716760026</v>
      </c>
      <c r="K130" s="1">
        <f t="shared" si="6"/>
        <v>9.2081028020065993E-3</v>
      </c>
      <c r="L130" s="1">
        <v>1.6500000000000001E-2</v>
      </c>
      <c r="M130" s="1">
        <v>0.2722</v>
      </c>
      <c r="N130" s="1">
        <f t="shared" si="0"/>
        <v>0.777033661055053</v>
      </c>
      <c r="O130" s="3">
        <v>1.18</v>
      </c>
      <c r="P130" s="19">
        <v>6.9645999999999999</v>
      </c>
    </row>
    <row r="131" spans="1:16" ht="43.2" x14ac:dyDescent="0.3">
      <c r="A131" s="15" t="s">
        <v>44</v>
      </c>
      <c r="B131">
        <v>2021</v>
      </c>
      <c r="C131" s="16">
        <v>54635</v>
      </c>
      <c r="D131" s="16">
        <v>5516474</v>
      </c>
      <c r="E131" s="16">
        <v>513710</v>
      </c>
      <c r="F131" s="16">
        <v>3241565</v>
      </c>
      <c r="G131" s="16">
        <v>4147274</v>
      </c>
      <c r="H131" s="16">
        <v>108330</v>
      </c>
      <c r="I131" s="1">
        <v>0.1331</v>
      </c>
      <c r="J131" s="1">
        <f>C131/AVERAGE(E131,513710)</f>
        <v>0.10635377936968328</v>
      </c>
      <c r="K131" s="1">
        <f>C131/AVERAGE(D131,5516474)</f>
        <v>9.9039712686038225E-3</v>
      </c>
      <c r="L131" s="1">
        <v>1.95E-2</v>
      </c>
      <c r="M131" s="1">
        <v>0.2636</v>
      </c>
      <c r="N131" s="1">
        <f t="shared" si="0"/>
        <v>0.78161341642727244</v>
      </c>
      <c r="O131" s="3">
        <v>1.1200000000000001</v>
      </c>
      <c r="P131" s="19">
        <v>6.3757000000000001</v>
      </c>
    </row>
    <row r="132" spans="1:16" ht="43.2" x14ac:dyDescent="0.3">
      <c r="A132" s="15" t="s">
        <v>45</v>
      </c>
      <c r="B132">
        <v>2025</v>
      </c>
      <c r="C132" s="16">
        <v>48217</v>
      </c>
      <c r="D132" s="16">
        <v>6492121</v>
      </c>
      <c r="E132" s="16">
        <v>524425</v>
      </c>
      <c r="F132" s="16">
        <v>3830923</v>
      </c>
      <c r="G132" s="16">
        <v>4387032</v>
      </c>
      <c r="H132" s="16">
        <v>81490</v>
      </c>
      <c r="I132" s="1">
        <v>0.14630000000000001</v>
      </c>
      <c r="J132" s="1">
        <f>C132/AVERAGE(E132,E133)</f>
        <v>9.7446074934267296E-2</v>
      </c>
      <c r="K132" s="1">
        <f>C132/AVERAGE(D132,D133)</f>
        <v>7.9460478888762915E-3</v>
      </c>
      <c r="L132" s="1">
        <v>1.34E-2</v>
      </c>
      <c r="M132" s="1">
        <v>0.2944</v>
      </c>
      <c r="N132" s="1">
        <f t="shared" si="0"/>
        <v>0.87323798869030356</v>
      </c>
      <c r="O132" s="3">
        <v>1.35</v>
      </c>
      <c r="P132" s="19">
        <v>7.0279999999999996</v>
      </c>
    </row>
    <row r="133" spans="1:16" ht="43.2" x14ac:dyDescent="0.3">
      <c r="A133" s="15" t="s">
        <v>45</v>
      </c>
      <c r="B133">
        <v>2024</v>
      </c>
      <c r="C133" s="16">
        <v>46683</v>
      </c>
      <c r="D133" s="16">
        <v>5643975</v>
      </c>
      <c r="E133" s="16">
        <v>465189</v>
      </c>
      <c r="F133" s="16">
        <v>3483446</v>
      </c>
      <c r="G133" s="16">
        <v>3994473</v>
      </c>
      <c r="H133" s="16">
        <v>82060</v>
      </c>
      <c r="I133" s="1">
        <v>0.14480000000000001</v>
      </c>
      <c r="J133" s="1">
        <f t="shared" ref="J133:J135" si="7">C133/AVERAGE(E133,E134)</f>
        <v>0.10237881675413338</v>
      </c>
      <c r="K133" s="1">
        <f t="shared" ref="K133:K135" si="8">C133/AVERAGE(D133,D134)</f>
        <v>8.4555992738215499E-3</v>
      </c>
      <c r="L133" s="1">
        <v>1.49E-2</v>
      </c>
      <c r="M133" s="1">
        <v>0.29580000000000001</v>
      </c>
      <c r="N133" s="1">
        <f t="shared" si="0"/>
        <v>0.87206647785577718</v>
      </c>
      <c r="O133" s="3">
        <v>1.26</v>
      </c>
      <c r="P133" s="19">
        <v>7.1879999999999997</v>
      </c>
    </row>
    <row r="134" spans="1:16" ht="43.2" x14ac:dyDescent="0.3">
      <c r="A134" s="15" t="s">
        <v>45</v>
      </c>
      <c r="B134">
        <v>2023</v>
      </c>
      <c r="C134" s="16">
        <v>46853</v>
      </c>
      <c r="D134" s="16">
        <v>5397939</v>
      </c>
      <c r="E134" s="16">
        <v>446777</v>
      </c>
      <c r="F134" s="16">
        <v>3251226</v>
      </c>
      <c r="G134" s="16">
        <v>3894986</v>
      </c>
      <c r="H134" s="16">
        <v>86935</v>
      </c>
      <c r="I134" s="1">
        <v>0.13150000000000001</v>
      </c>
      <c r="J134" s="1">
        <f t="shared" si="7"/>
        <v>0.1084820089998414</v>
      </c>
      <c r="K134" s="1">
        <f t="shared" si="8"/>
        <v>8.9975861703761005E-3</v>
      </c>
      <c r="L134" s="1">
        <v>1.67E-2</v>
      </c>
      <c r="M134" s="1">
        <v>0.28389999999999999</v>
      </c>
      <c r="N134" s="1">
        <f t="shared" si="0"/>
        <v>0.83472084366927124</v>
      </c>
      <c r="O134" s="3">
        <v>1.26</v>
      </c>
      <c r="P134" s="19">
        <v>7.09</v>
      </c>
    </row>
    <row r="135" spans="1:16" ht="43.2" x14ac:dyDescent="0.3">
      <c r="A135" s="15" t="s">
        <v>45</v>
      </c>
      <c r="B135">
        <v>2022</v>
      </c>
      <c r="C135" s="16">
        <v>47081</v>
      </c>
      <c r="D135" s="16">
        <v>5016632</v>
      </c>
      <c r="E135" s="16">
        <v>417016</v>
      </c>
      <c r="F135" s="16">
        <v>2971212</v>
      </c>
      <c r="G135" s="16">
        <v>3627676</v>
      </c>
      <c r="H135" s="16">
        <v>93323</v>
      </c>
      <c r="I135" s="1">
        <v>0.13689999999999999</v>
      </c>
      <c r="J135" s="1">
        <f t="shared" si="7"/>
        <v>0.11385574145525731</v>
      </c>
      <c r="K135" s="1">
        <f t="shared" si="8"/>
        <v>9.645934324014763E-3</v>
      </c>
      <c r="L135" s="1">
        <v>1.9099999999999999E-2</v>
      </c>
      <c r="M135" s="1">
        <v>0.27960000000000002</v>
      </c>
      <c r="N135" s="1">
        <f t="shared" si="0"/>
        <v>0.81904006862795908</v>
      </c>
      <c r="O135" s="3">
        <v>1.2</v>
      </c>
      <c r="P135" s="19">
        <v>6.89</v>
      </c>
    </row>
    <row r="136" spans="1:16" ht="43.2" x14ac:dyDescent="0.3">
      <c r="A136" s="15" t="s">
        <v>45</v>
      </c>
      <c r="B136">
        <v>2021</v>
      </c>
      <c r="C136" s="16">
        <v>47448</v>
      </c>
      <c r="D136" s="16">
        <v>4745201</v>
      </c>
      <c r="E136" s="16">
        <v>410013</v>
      </c>
      <c r="F136" s="16">
        <v>2849960</v>
      </c>
      <c r="G136" s="16">
        <v>6510017</v>
      </c>
      <c r="H136" s="16">
        <v>94957</v>
      </c>
      <c r="I136" s="1">
        <v>0.13589999999999999</v>
      </c>
      <c r="J136" s="1">
        <f>C136/AVERAGE(E136,410013)</f>
        <v>0.11572315999736593</v>
      </c>
      <c r="K136" s="1">
        <f>C136/AVERAGE(D136,4745201)</f>
        <v>9.9991549356918709E-3</v>
      </c>
      <c r="L136" t="s">
        <v>20</v>
      </c>
      <c r="M136" s="1">
        <v>0.27639999999999998</v>
      </c>
      <c r="N136" s="1">
        <f t="shared" si="0"/>
        <v>0.43778073083372898</v>
      </c>
      <c r="O136" s="3">
        <v>1.25</v>
      </c>
      <c r="P136" s="19">
        <v>6.37</v>
      </c>
    </row>
    <row r="137" spans="1:16" ht="28.8" x14ac:dyDescent="0.3">
      <c r="A137" s="15" t="s">
        <v>46</v>
      </c>
      <c r="B137">
        <v>2025</v>
      </c>
      <c r="C137" s="16">
        <v>8438</v>
      </c>
      <c r="D137" s="16">
        <v>696604</v>
      </c>
      <c r="E137" s="16">
        <v>53400</v>
      </c>
      <c r="F137" s="16">
        <v>345930</v>
      </c>
      <c r="G137" s="16">
        <v>474900</v>
      </c>
      <c r="H137" s="16">
        <v>11087</v>
      </c>
      <c r="I137" s="1">
        <v>0.17</v>
      </c>
      <c r="J137" s="1">
        <f>C137/AVERAGE(E137,E138)</f>
        <v>0.1627229775335069</v>
      </c>
      <c r="K137" s="1">
        <f>C137/AVERAGE(D137,D138)</f>
        <v>1.2965740205780034E-2</v>
      </c>
      <c r="L137" s="1">
        <v>1.43E-2</v>
      </c>
      <c r="M137" s="1">
        <v>0.4</v>
      </c>
      <c r="N137" s="1">
        <f t="shared" si="0"/>
        <v>0.72842703727100444</v>
      </c>
      <c r="O137" s="3">
        <v>1.55</v>
      </c>
      <c r="P137" s="21">
        <v>1.3</v>
      </c>
    </row>
    <row r="138" spans="1:16" ht="28.8" x14ac:dyDescent="0.3">
      <c r="A138" s="15" t="s">
        <v>46</v>
      </c>
      <c r="B138">
        <v>2024</v>
      </c>
      <c r="C138" s="16">
        <v>8540</v>
      </c>
      <c r="D138" s="16">
        <v>604980</v>
      </c>
      <c r="E138" s="16">
        <v>50310</v>
      </c>
      <c r="F138" s="16">
        <v>314930</v>
      </c>
      <c r="G138" s="16">
        <v>410960</v>
      </c>
      <c r="H138" s="16">
        <v>10795</v>
      </c>
      <c r="I138" s="1">
        <v>0.17</v>
      </c>
      <c r="J138" s="1">
        <f t="shared" ref="J138:J141" si="9">C138/AVERAGE(E138,E139)</f>
        <v>0.1766598057569583</v>
      </c>
      <c r="K138" s="1">
        <f t="shared" ref="K138:K141" si="10">C138/AVERAGE(D138,D139)</f>
        <v>1.4783693274717893E-2</v>
      </c>
      <c r="L138" s="1">
        <v>1.52E-2</v>
      </c>
      <c r="M138" s="1">
        <v>0.4</v>
      </c>
      <c r="N138" s="1">
        <f t="shared" si="0"/>
        <v>0.76632762312633829</v>
      </c>
      <c r="O138" s="3">
        <v>1.47</v>
      </c>
      <c r="P138" s="21">
        <v>1.33</v>
      </c>
    </row>
    <row r="139" spans="1:16" ht="28.8" x14ac:dyDescent="0.3">
      <c r="A139" s="15" t="s">
        <v>46</v>
      </c>
      <c r="B139">
        <v>2023</v>
      </c>
      <c r="C139" s="16">
        <v>7631</v>
      </c>
      <c r="D139" s="16">
        <v>550347</v>
      </c>
      <c r="E139" s="16">
        <v>46373</v>
      </c>
      <c r="F139" s="16">
        <v>309110</v>
      </c>
      <c r="G139" s="16">
        <v>399440</v>
      </c>
      <c r="H139" s="16">
        <v>10171</v>
      </c>
      <c r="I139" s="1">
        <v>0.14599999999999999</v>
      </c>
      <c r="J139" s="1">
        <f t="shared" si="9"/>
        <v>0.16717967817199944</v>
      </c>
      <c r="K139" s="1">
        <f t="shared" si="10"/>
        <v>1.3814227513864463E-2</v>
      </c>
      <c r="L139" s="1">
        <v>1.6299999999999999E-2</v>
      </c>
      <c r="M139" s="1">
        <v>0.39500000000000002</v>
      </c>
      <c r="N139" s="1">
        <f t="shared" si="0"/>
        <v>0.77385840176246745</v>
      </c>
      <c r="O139" s="3">
        <v>1.44</v>
      </c>
      <c r="P139" s="21">
        <v>1.34</v>
      </c>
    </row>
    <row r="140" spans="1:16" ht="28.8" x14ac:dyDescent="0.3">
      <c r="A140" s="15" t="s">
        <v>46</v>
      </c>
      <c r="B140">
        <v>2022</v>
      </c>
      <c r="C140" s="16">
        <v>6020</v>
      </c>
      <c r="D140" s="16">
        <v>554456</v>
      </c>
      <c r="E140" s="16">
        <v>44918</v>
      </c>
      <c r="F140" s="16">
        <v>309100</v>
      </c>
      <c r="G140" s="16">
        <v>392000</v>
      </c>
      <c r="H140" s="16">
        <v>8083</v>
      </c>
      <c r="I140" s="1">
        <v>0.14599999999999999</v>
      </c>
      <c r="J140" s="1">
        <f t="shared" si="9"/>
        <v>0.14347339069091256</v>
      </c>
      <c r="K140" s="1">
        <f t="shared" si="10"/>
        <v>1.1419292914347715E-2</v>
      </c>
      <c r="L140" s="1">
        <v>1.1899999999999999E-2</v>
      </c>
      <c r="M140" s="1">
        <v>0.42</v>
      </c>
      <c r="N140" s="1">
        <f t="shared" si="0"/>
        <v>0.7885204081632653</v>
      </c>
      <c r="O140" s="3">
        <v>1.4</v>
      </c>
      <c r="P140" s="21">
        <v>1.38</v>
      </c>
    </row>
    <row r="141" spans="1:16" ht="28.8" x14ac:dyDescent="0.3">
      <c r="A141" s="15" t="s">
        <v>46</v>
      </c>
      <c r="B141">
        <v>2021</v>
      </c>
      <c r="C141" s="16">
        <v>5050</v>
      </c>
      <c r="D141" s="16">
        <v>499900</v>
      </c>
      <c r="E141" s="16">
        <v>39000</v>
      </c>
      <c r="F141" s="16">
        <v>303900</v>
      </c>
      <c r="G141" s="16">
        <v>373000</v>
      </c>
      <c r="H141" s="16">
        <v>6270</v>
      </c>
      <c r="I141" s="20">
        <v>0.14399999999999999</v>
      </c>
      <c r="J141" s="1">
        <f>C141/AVERAGE(E141,57714)</f>
        <v>0.10443162313625742</v>
      </c>
      <c r="K141" s="1">
        <f>C141/AVERAGE(D141,686073)</f>
        <v>8.5162141128002078E-3</v>
      </c>
      <c r="L141" s="20">
        <v>1.4500000000000001E-2</v>
      </c>
      <c r="M141" s="20">
        <v>0.45</v>
      </c>
      <c r="N141" s="1">
        <f t="shared" si="0"/>
        <v>0.81474530831099201</v>
      </c>
      <c r="O141" s="3">
        <v>1.35</v>
      </c>
      <c r="P141" s="21">
        <v>1.34</v>
      </c>
    </row>
    <row r="142" spans="1:16" ht="28.8" x14ac:dyDescent="0.3">
      <c r="A142" s="15" t="s">
        <v>47</v>
      </c>
      <c r="B142">
        <v>2025</v>
      </c>
      <c r="C142" s="16">
        <v>4682</v>
      </c>
      <c r="D142" s="16">
        <v>572000</v>
      </c>
      <c r="E142" s="16">
        <v>51000</v>
      </c>
      <c r="F142" s="16">
        <v>352000</v>
      </c>
      <c r="G142" s="16">
        <v>426000</v>
      </c>
      <c r="H142" s="16">
        <v>9400</v>
      </c>
      <c r="I142" s="20">
        <v>0.151</v>
      </c>
      <c r="J142" s="1">
        <f>C142/AVERAGE(E142,E143)</f>
        <v>9.2712871287128712E-2</v>
      </c>
      <c r="K142" s="1">
        <f>C142/AVERAGE(D142,D143)</f>
        <v>8.4360360360360362E-3</v>
      </c>
      <c r="L142" s="20">
        <v>1.6399999999999998E-2</v>
      </c>
      <c r="M142" s="5">
        <v>0.44600000000000001</v>
      </c>
      <c r="N142" s="1">
        <f t="shared" si="0"/>
        <v>0.82629107981220662</v>
      </c>
      <c r="O142" s="3">
        <v>1.43</v>
      </c>
      <c r="P142" s="21">
        <v>1.3</v>
      </c>
    </row>
    <row r="143" spans="1:16" ht="28.8" x14ac:dyDescent="0.3">
      <c r="A143" s="15" t="s">
        <v>47</v>
      </c>
      <c r="B143">
        <v>2024</v>
      </c>
      <c r="C143" s="16">
        <v>6045</v>
      </c>
      <c r="D143" s="16">
        <v>538000</v>
      </c>
      <c r="E143" s="16">
        <v>50000</v>
      </c>
      <c r="F143" s="16">
        <v>338000</v>
      </c>
      <c r="G143" s="16">
        <v>404000</v>
      </c>
      <c r="H143" s="16">
        <v>9700</v>
      </c>
      <c r="I143" s="20">
        <v>0.155</v>
      </c>
      <c r="J143" s="1">
        <f t="shared" ref="J143:J146" si="11">C143/AVERAGE(E143,E144)</f>
        <v>0.12593750000000001</v>
      </c>
      <c r="K143" s="1">
        <f t="shared" ref="K143:K146" si="12">C143/AVERAGE(D143,D144)</f>
        <v>1.1384180790960452E-2</v>
      </c>
      <c r="L143" s="20">
        <v>1.77E-2</v>
      </c>
      <c r="M143" s="20">
        <v>0.441</v>
      </c>
      <c r="N143" s="1">
        <f t="shared" si="0"/>
        <v>0.8366336633663366</v>
      </c>
      <c r="O143" s="3">
        <v>1.47</v>
      </c>
      <c r="P143" s="21">
        <v>1.33</v>
      </c>
    </row>
    <row r="144" spans="1:16" ht="28.8" x14ac:dyDescent="0.3">
      <c r="A144" s="15" t="s">
        <v>47</v>
      </c>
      <c r="B144">
        <v>2023</v>
      </c>
      <c r="C144" s="16">
        <v>5711</v>
      </c>
      <c r="D144" s="16">
        <v>524000</v>
      </c>
      <c r="E144" s="16">
        <v>46000</v>
      </c>
      <c r="F144" s="16">
        <v>321000</v>
      </c>
      <c r="G144" s="16">
        <v>385000</v>
      </c>
      <c r="H144" s="16">
        <v>9800</v>
      </c>
      <c r="I144" s="20">
        <v>0.13400000000000001</v>
      </c>
      <c r="J144" s="1">
        <f t="shared" si="11"/>
        <v>0.12833707865168539</v>
      </c>
      <c r="K144" s="1">
        <f t="shared" si="12"/>
        <v>1.1110894941634241E-2</v>
      </c>
      <c r="L144" s="20">
        <v>1.8600000000000002E-2</v>
      </c>
      <c r="M144" s="20">
        <v>0.44600000000000001</v>
      </c>
      <c r="N144" s="1">
        <f t="shared" si="0"/>
        <v>0.83376623376623371</v>
      </c>
      <c r="O144" s="3">
        <v>1.45</v>
      </c>
      <c r="P144" s="21">
        <v>1.34</v>
      </c>
    </row>
    <row r="145" spans="1:16" ht="28.8" x14ac:dyDescent="0.3">
      <c r="A145" s="15" t="s">
        <v>47</v>
      </c>
      <c r="B145">
        <v>2022</v>
      </c>
      <c r="C145" s="16">
        <v>4573</v>
      </c>
      <c r="D145" s="16">
        <v>504000</v>
      </c>
      <c r="E145" s="16">
        <v>43000</v>
      </c>
      <c r="F145" s="16">
        <v>320000</v>
      </c>
      <c r="G145" s="16">
        <v>369000</v>
      </c>
      <c r="H145" s="16">
        <v>7500</v>
      </c>
      <c r="I145" s="20">
        <v>0.13300000000000001</v>
      </c>
      <c r="J145" s="1">
        <f t="shared" si="11"/>
        <v>0.10634883720930233</v>
      </c>
      <c r="K145" s="1">
        <f t="shared" si="12"/>
        <v>9.4974039460020768E-3</v>
      </c>
      <c r="L145" s="20">
        <v>1.55E-2</v>
      </c>
      <c r="M145" s="20">
        <v>0.45600000000000002</v>
      </c>
      <c r="N145" s="1">
        <f t="shared" si="0"/>
        <v>0.86720867208672092</v>
      </c>
      <c r="O145" s="3">
        <v>1.4</v>
      </c>
      <c r="P145" s="21">
        <v>1.38</v>
      </c>
    </row>
    <row r="146" spans="1:16" ht="28.8" x14ac:dyDescent="0.3">
      <c r="A146" s="15" t="s">
        <v>47</v>
      </c>
      <c r="B146">
        <v>2021</v>
      </c>
      <c r="C146" s="16">
        <v>4075</v>
      </c>
      <c r="D146" s="16">
        <v>459000</v>
      </c>
      <c r="E146" s="16">
        <v>43000</v>
      </c>
      <c r="F146" s="16">
        <v>311000</v>
      </c>
      <c r="G146" s="16">
        <v>353000</v>
      </c>
      <c r="H146" s="16">
        <v>6400</v>
      </c>
      <c r="I146" s="20">
        <v>0.13500000000000001</v>
      </c>
      <c r="J146" s="1">
        <f>C146/AVERAGE(E146,30230)</f>
        <v>0.11129318585279258</v>
      </c>
      <c r="K146" s="1">
        <f>C146/AVERAGE(D146,317300)</f>
        <v>1.0498518613937911E-2</v>
      </c>
      <c r="L146" s="20">
        <v>1.5600000000000001E-2</v>
      </c>
      <c r="M146" s="20">
        <v>0.441</v>
      </c>
      <c r="N146" s="1">
        <f t="shared" si="0"/>
        <v>0.88101983002832862</v>
      </c>
      <c r="O146" s="3">
        <v>1.35</v>
      </c>
      <c r="P146" s="21">
        <v>1.34</v>
      </c>
    </row>
    <row r="147" spans="1:16" x14ac:dyDescent="0.3">
      <c r="A147" s="15" t="s">
        <v>48</v>
      </c>
      <c r="B147">
        <v>2025</v>
      </c>
      <c r="C147" s="16">
        <v>2456</v>
      </c>
      <c r="D147" s="16">
        <v>246112</v>
      </c>
      <c r="E147" s="16">
        <v>21828</v>
      </c>
      <c r="F147" s="16">
        <v>158352</v>
      </c>
      <c r="G147" s="16">
        <v>163098</v>
      </c>
      <c r="H147" s="16">
        <v>5094</v>
      </c>
      <c r="I147" s="20">
        <v>0.16039999999999999</v>
      </c>
      <c r="J147" s="1">
        <f>C147/AVERAGE(E147,E148)</f>
        <v>0.11593381953786967</v>
      </c>
      <c r="K147" s="1">
        <f>C147/AVERAGE(D147,D148)</f>
        <v>1.0208450235883368E-2</v>
      </c>
      <c r="L147" s="20">
        <v>6.7000000000000004E-2</v>
      </c>
      <c r="M147" s="20">
        <v>0.48799999999999999</v>
      </c>
      <c r="N147" s="1">
        <f t="shared" si="0"/>
        <v>0.97090093072876427</v>
      </c>
      <c r="O147" s="3">
        <v>1.39</v>
      </c>
      <c r="P147" s="22">
        <v>4.28</v>
      </c>
    </row>
    <row r="148" spans="1:16" x14ac:dyDescent="0.3">
      <c r="A148" s="15" t="s">
        <v>48</v>
      </c>
      <c r="B148">
        <v>2024</v>
      </c>
      <c r="C148" s="16">
        <v>2205</v>
      </c>
      <c r="D148" s="16">
        <v>235058</v>
      </c>
      <c r="E148" s="16">
        <v>20541</v>
      </c>
      <c r="F148" s="16">
        <v>145315</v>
      </c>
      <c r="G148" s="16">
        <v>155838</v>
      </c>
      <c r="H148" s="16">
        <v>4624</v>
      </c>
      <c r="I148" s="20">
        <v>0.15770000000000001</v>
      </c>
      <c r="J148" s="1">
        <f t="shared" ref="J148:J151" si="13">C148/AVERAGE(E148,E149)</f>
        <v>0.10676415048661211</v>
      </c>
      <c r="K148" s="1">
        <f t="shared" ref="K148:K151" si="14">C148/AVERAGE(D148,D149)</f>
        <v>9.5757362568642396E-3</v>
      </c>
      <c r="L148" s="20">
        <v>6.3E-2</v>
      </c>
      <c r="M148" s="20">
        <v>0.48899999999999999</v>
      </c>
      <c r="N148" s="1">
        <f t="shared" si="0"/>
        <v>0.93247474941926878</v>
      </c>
      <c r="O148" s="3">
        <v>1.34</v>
      </c>
      <c r="P148" s="22">
        <v>4.57</v>
      </c>
    </row>
    <row r="149" spans="1:16" x14ac:dyDescent="0.3">
      <c r="A149" s="15" t="s">
        <v>48</v>
      </c>
      <c r="B149">
        <v>2023</v>
      </c>
      <c r="C149" s="16">
        <v>2051</v>
      </c>
      <c r="D149" s="16">
        <v>225481</v>
      </c>
      <c r="E149" s="16">
        <v>20765</v>
      </c>
      <c r="F149" s="16">
        <v>138320</v>
      </c>
      <c r="G149" s="16">
        <v>147082</v>
      </c>
      <c r="H149" s="16">
        <v>4469</v>
      </c>
      <c r="I149" s="20">
        <v>0.16190000000000002</v>
      </c>
      <c r="J149" s="1">
        <f t="shared" si="13"/>
        <v>0.10176639872978069</v>
      </c>
      <c r="K149" s="1">
        <f t="shared" si="14"/>
        <v>9.301988067513112E-3</v>
      </c>
      <c r="L149" s="20">
        <v>7.0999999999999994E-2</v>
      </c>
      <c r="M149" s="20">
        <v>0.48899999999999999</v>
      </c>
      <c r="N149" s="1">
        <f t="shared" si="0"/>
        <v>0.94042778858051967</v>
      </c>
      <c r="O149" s="3">
        <v>1.39</v>
      </c>
      <c r="P149" s="22">
        <v>4.55</v>
      </c>
    </row>
    <row r="150" spans="1:16" x14ac:dyDescent="0.3">
      <c r="A150" s="15" t="s">
        <v>48</v>
      </c>
      <c r="B150">
        <v>2022</v>
      </c>
      <c r="C150" s="16">
        <v>1872</v>
      </c>
      <c r="D150" s="16">
        <v>215500</v>
      </c>
      <c r="E150" s="16">
        <v>19543</v>
      </c>
      <c r="F150" s="16">
        <v>130823</v>
      </c>
      <c r="G150" s="16">
        <v>139806</v>
      </c>
      <c r="H150" s="16">
        <v>4831</v>
      </c>
      <c r="I150" s="20">
        <v>0.15670000000000001</v>
      </c>
      <c r="J150" s="1">
        <f t="shared" si="13"/>
        <v>9.3018633540372667E-2</v>
      </c>
      <c r="K150" s="1">
        <f t="shared" si="14"/>
        <v>8.7103798693443021E-3</v>
      </c>
      <c r="L150" s="20">
        <v>6.8000000000000005E-2</v>
      </c>
      <c r="M150" s="20">
        <v>0.45200000000000001</v>
      </c>
      <c r="N150" s="1">
        <f t="shared" si="0"/>
        <v>0.9357466775388753</v>
      </c>
      <c r="O150" t="s">
        <v>20</v>
      </c>
      <c r="P150" s="22">
        <v>4.3899999999999997</v>
      </c>
    </row>
    <row r="151" spans="1:16" x14ac:dyDescent="0.3">
      <c r="A151" s="15" t="s">
        <v>48</v>
      </c>
      <c r="B151">
        <v>2021</v>
      </c>
      <c r="C151" s="16">
        <v>1953</v>
      </c>
      <c r="D151" s="16">
        <v>214332</v>
      </c>
      <c r="E151" s="16">
        <v>20707</v>
      </c>
      <c r="F151" s="16">
        <v>130767</v>
      </c>
      <c r="G151" s="16">
        <v>142128</v>
      </c>
      <c r="H151" s="16">
        <v>4731</v>
      </c>
      <c r="I151" s="20">
        <v>0.16089999999999999</v>
      </c>
      <c r="J151" s="1">
        <f>C151/AVERAGE(E151,20090)</f>
        <v>9.57423339951467E-2</v>
      </c>
      <c r="K151" s="1">
        <f>C151/AVERAGE(D151,203873)</f>
        <v>9.3399170263387572E-3</v>
      </c>
      <c r="L151" s="20">
        <v>6.9000000000000006E-2</v>
      </c>
      <c r="M151" s="20">
        <v>0.45299999999999996</v>
      </c>
      <c r="N151" s="1">
        <f t="shared" si="0"/>
        <v>0.92006501182033096</v>
      </c>
      <c r="O151" t="s">
        <v>20</v>
      </c>
      <c r="P151" s="22">
        <v>4.1399999999999997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F04A-AB13-41B6-8724-266CCF9C3055}">
  <dimension ref="A1:G31"/>
  <sheetViews>
    <sheetView zoomScaleNormal="100" workbookViewId="0">
      <selection activeCell="L24" sqref="L24"/>
    </sheetView>
  </sheetViews>
  <sheetFormatPr defaultRowHeight="14.4" x14ac:dyDescent="0.3"/>
  <cols>
    <col min="1" max="1" width="17.21875" customWidth="1"/>
    <col min="4" max="4" width="12.44140625" customWidth="1"/>
    <col min="6" max="6" width="17.77734375" customWidth="1"/>
  </cols>
  <sheetData>
    <row r="1" spans="1:7" x14ac:dyDescent="0.3">
      <c r="A1" s="6" t="s">
        <v>0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</row>
    <row r="2" spans="1:7" x14ac:dyDescent="0.3">
      <c r="A2" t="s">
        <v>13</v>
      </c>
      <c r="B2" s="1">
        <f>AVERAGE('Raw Data'!J2,'Raw Data'!J3,'Raw Data'!J4,'Raw Data'!J5,'Raw Data'!J7)</f>
        <v>0.14510149813670845</v>
      </c>
      <c r="C2" s="1">
        <f>AVERAGE('Raw Data'!K2:K6)</f>
        <v>1.3048167949274969E-2</v>
      </c>
      <c r="D2" s="1">
        <f>AVERAGE('Raw Data'!L2:L6)</f>
        <v>2.3400000000000001E-2</v>
      </c>
      <c r="E2" s="5">
        <f>AVERAGE('Raw Data'!I2:I6)</f>
        <v>0.14319999999999999</v>
      </c>
      <c r="F2" s="20">
        <f>AVERAGE('Raw Data'!M2:M6)</f>
        <v>0.53999999999999992</v>
      </c>
      <c r="G2" s="3">
        <f>AVERAGE('Raw Data'!O2:O6)</f>
        <v>1.1200000000000001</v>
      </c>
    </row>
    <row r="3" spans="1:7" x14ac:dyDescent="0.3">
      <c r="A3" t="s">
        <v>16</v>
      </c>
      <c r="B3" s="1">
        <f>AVERAGE('Raw Data'!J7:J11)</f>
        <v>0.10146089376735201</v>
      </c>
      <c r="C3" s="1">
        <f>AVERAGE('Raw Data'!K7:K11)</f>
        <v>9.0764022173784667E-3</v>
      </c>
      <c r="D3" s="1">
        <f>AVERAGE('Raw Data'!L7:L11)</f>
        <v>1.9319999999999997E-2</v>
      </c>
      <c r="E3" s="5">
        <f>AVERAGE('Raw Data'!I7:I11)</f>
        <v>0.11380000000000001</v>
      </c>
      <c r="F3" s="1">
        <f>AVERAGE('Raw Data'!M7:M11)</f>
        <v>0.64663999999999988</v>
      </c>
      <c r="G3" s="3">
        <f>AVERAGE('Raw Data'!O7:O11)</f>
        <v>1.1499999999999999</v>
      </c>
    </row>
    <row r="4" spans="1:7" x14ac:dyDescent="0.3">
      <c r="A4" t="s">
        <v>17</v>
      </c>
      <c r="B4" s="1">
        <f>AVERAGE('Raw Data'!J12:J16)</f>
        <v>0.1028257112903331</v>
      </c>
      <c r="C4" s="1">
        <f>AVERAGE('Raw Data'!K12:K16)</f>
        <v>9.7347863141138778E-3</v>
      </c>
      <c r="D4" s="1">
        <f>AVERAGE('Raw Data'!L12:L16)</f>
        <v>2.5899999999999999E-2</v>
      </c>
      <c r="E4" s="1">
        <f>AVERAGE('Raw Data'!I12:I16)</f>
        <v>0.1101</v>
      </c>
      <c r="F4" s="1">
        <f>AVERAGE('Raw Data'!M12:M16)</f>
        <v>0.69000000000000006</v>
      </c>
      <c r="G4" s="3">
        <f>AVERAGE('Raw Data'!O12:O16)</f>
        <v>1.218</v>
      </c>
    </row>
    <row r="5" spans="1:7" x14ac:dyDescent="0.3">
      <c r="A5" t="s">
        <v>18</v>
      </c>
      <c r="B5" s="1">
        <f>AVERAGE('Raw Data'!J17:J21)</f>
        <v>7.1528166689608791E-2</v>
      </c>
      <c r="C5" s="1">
        <f>AVERAGE('Raw Data'!K17:K21)</f>
        <v>6.1617093871605428E-3</v>
      </c>
      <c r="D5" s="1">
        <f>AVERAGE('Raw Data'!L17:L21)</f>
        <v>2.3140000000000001E-2</v>
      </c>
      <c r="E5" s="1">
        <f>AVERAGE('Raw Data'!I17:I21)</f>
        <v>0.13092000000000001</v>
      </c>
      <c r="F5" s="1">
        <f>AVERAGE('Raw Data'!M17:M21)</f>
        <v>0.67520000000000002</v>
      </c>
      <c r="G5" s="3">
        <f>AVERAGE('Raw Data'!O17:O21)</f>
        <v>1.1599999999999997</v>
      </c>
    </row>
    <row r="6" spans="1:7" x14ac:dyDescent="0.3">
      <c r="A6" t="s">
        <v>19</v>
      </c>
      <c r="B6" s="1">
        <f>AVERAGE('Raw Data'!J22:J26)</f>
        <v>0.12814500744436003</v>
      </c>
      <c r="C6" s="1">
        <f>AVERAGE('Raw Data'!K22:K26)</f>
        <v>9.6416540859239029E-3</v>
      </c>
      <c r="D6" s="20">
        <f>AVERAGE('Raw Data'!L22:L26)</f>
        <v>2.3574999999999999E-2</v>
      </c>
      <c r="E6" s="1">
        <f>AVERAGE('Raw Data'!I22:I26)</f>
        <v>0.1472</v>
      </c>
      <c r="F6" s="1">
        <f>AVERAGE('Raw Data'!M22:M26)</f>
        <v>0.64339999999999997</v>
      </c>
      <c r="G6" s="3">
        <f>AVERAGE('Raw Data'!O22:O26)</f>
        <v>1.2559999999999998</v>
      </c>
    </row>
    <row r="7" spans="1:7" x14ac:dyDescent="0.3">
      <c r="A7" t="s">
        <v>50</v>
      </c>
      <c r="B7" s="1">
        <f>AVERAGE('Raw Data'!J27:J31)</f>
        <v>0.10238431224827227</v>
      </c>
      <c r="C7" s="1">
        <f>AVERAGE('Raw Data'!K27:K31)</f>
        <v>1.2957706944344888E-2</v>
      </c>
      <c r="D7" s="1">
        <f>AVERAGE('Raw Data'!L27:L31)</f>
        <v>2.5600000000000001E-2</v>
      </c>
      <c r="E7" s="1">
        <f>AVERAGE('Raw Data'!I27:I31)</f>
        <v>0.15540000000000001</v>
      </c>
      <c r="F7" s="1">
        <f>AVERAGE('Raw Data'!M27:M31)</f>
        <v>0.71199999999999997</v>
      </c>
      <c r="G7" s="3">
        <f>AVERAGE('Raw Data'!O27:O31)</f>
        <v>1.3180000000000001</v>
      </c>
    </row>
    <row r="8" spans="1:7" x14ac:dyDescent="0.3">
      <c r="A8" t="s">
        <v>22</v>
      </c>
      <c r="B8" s="1">
        <f>AVERAGE('Raw Data'!J32:J36)</f>
        <v>0.1184522993998101</v>
      </c>
      <c r="C8" s="1">
        <f>AVERAGE('Raw Data'!K32:K36)</f>
        <v>1.2371218543005371E-2</v>
      </c>
      <c r="D8" s="1">
        <f>AVERAGE('Raw Data'!L32:L36)</f>
        <v>2.7060000000000001E-2</v>
      </c>
      <c r="E8" s="1">
        <f>AVERAGE('Raw Data'!J32:J36)</f>
        <v>0.1184522993998101</v>
      </c>
      <c r="F8" s="1">
        <f>AVERAGE('Raw Data'!M32:M36)</f>
        <v>0.61880000000000002</v>
      </c>
      <c r="G8" s="3">
        <f>AVERAGE('Raw Data'!O32:O36)</f>
        <v>1.0962000000000001</v>
      </c>
    </row>
    <row r="9" spans="1:7" ht="28.8" x14ac:dyDescent="0.3">
      <c r="A9" s="15" t="s">
        <v>23</v>
      </c>
      <c r="B9" s="23">
        <f>AVERAGE('Raw Data'!J37:J41)</f>
        <v>0.11610919637569764</v>
      </c>
      <c r="C9" s="1">
        <f>AVERAGE('Raw Data'!K37:K41)</f>
        <v>1.1145087759200272E-2</v>
      </c>
      <c r="D9" s="1">
        <f>AVERAGE('Raw Data'!L37:L41)</f>
        <v>2.6379999999999997E-2</v>
      </c>
      <c r="E9" s="1">
        <f>AVERAGE('Raw Data'!I37:I41)</f>
        <v>0.1008</v>
      </c>
      <c r="F9" s="1">
        <f>AVERAGE('Raw Data'!M37:M41)</f>
        <v>0.63600000000000001</v>
      </c>
      <c r="G9" s="3">
        <f>AVERAGE('Raw Data'!O37:O41)</f>
        <v>1.0780000000000001</v>
      </c>
    </row>
    <row r="10" spans="1:7" x14ac:dyDescent="0.3">
      <c r="A10" t="s">
        <v>25</v>
      </c>
      <c r="B10" s="1">
        <f>AVERAGE('Raw Data'!J42:J46)</f>
        <v>7.2334820275119699E-2</v>
      </c>
      <c r="C10" s="1">
        <f>AVERAGE('Raw Data'!K42:K46)</f>
        <v>8.7603740760553266E-3</v>
      </c>
      <c r="D10" s="1">
        <f>AVERAGE('Raw Data'!L42:L46)</f>
        <v>2.742E-2</v>
      </c>
      <c r="E10" s="1">
        <f>AVERAGE('Raw Data'!I42:I46)</f>
        <v>0.10200000000000001</v>
      </c>
      <c r="F10" s="1">
        <f>AVERAGE('Raw Data'!M42:M46)</f>
        <v>0.68519999999999992</v>
      </c>
      <c r="G10" s="3">
        <f>AVERAGE('Raw Data'!O42:O46)</f>
        <v>1.1160000000000001</v>
      </c>
    </row>
    <row r="11" spans="1:7" x14ac:dyDescent="0.3">
      <c r="A11" t="s">
        <v>24</v>
      </c>
      <c r="B11" s="1">
        <f>AVERAGE('Raw Data'!J47:J51)</f>
        <v>0.10510162734069246</v>
      </c>
      <c r="C11" s="1">
        <f>AVERAGE('Raw Data'!K47:K51)</f>
        <v>1.4021726416861757E-2</v>
      </c>
      <c r="D11" s="1">
        <f>AVERAGE('Raw Data'!L47:L51)</f>
        <v>6.8459999999999993E-2</v>
      </c>
      <c r="E11" s="1">
        <f>AVERAGE('Raw Data'!I47:I51)</f>
        <v>0.1326</v>
      </c>
      <c r="F11" s="1">
        <f>AVERAGE('Raw Data'!M47:M51)</f>
        <v>0.55525999999999998</v>
      </c>
      <c r="G11" s="3">
        <f>AVERAGE('Raw Data'!O47:O51)</f>
        <v>1.5920000000000001</v>
      </c>
    </row>
    <row r="12" spans="1:7" x14ac:dyDescent="0.3">
      <c r="A12" t="s">
        <v>27</v>
      </c>
      <c r="B12" s="1">
        <f>AVERAGE('Raw Data'!J52:J56)</f>
        <v>0.10625059221681357</v>
      </c>
      <c r="C12" s="1">
        <f>AVERAGE('Raw Data'!K52:K56)</f>
        <v>6.8658212453591525E-3</v>
      </c>
      <c r="D12" s="1">
        <f>AVERAGE('Raw Data'!L52:L56)</f>
        <v>1.4980000000000002E-2</v>
      </c>
      <c r="E12" s="1">
        <f>AVERAGE('Raw Data'!I52:I56)</f>
        <v>0.1492</v>
      </c>
      <c r="F12" s="1">
        <f>AVERAGE('Raw Data'!M52:M56)</f>
        <v>0.57279999999999998</v>
      </c>
      <c r="G12" s="3">
        <f>AVERAGE('Raw Data'!O52:O56)</f>
        <v>1.3640000000000001</v>
      </c>
    </row>
    <row r="13" spans="1:7" x14ac:dyDescent="0.3">
      <c r="A13" t="s">
        <v>51</v>
      </c>
      <c r="B13" s="1">
        <f>AVERAGE('Raw Data'!J57:J61)</f>
        <v>7.6964336257899335E-2</v>
      </c>
      <c r="C13" s="1">
        <f>AVERAGE('Raw Data'!K57:K61)</f>
        <v>3.7395014806171035E-3</v>
      </c>
      <c r="D13" s="1">
        <f>AVERAGE('Raw Data'!L57:L61)</f>
        <v>3.8300000000000001E-2</v>
      </c>
      <c r="E13" s="1">
        <f>AVERAGE('Raw Data'!I57:I61)</f>
        <v>0.13740000000000002</v>
      </c>
      <c r="F13" s="1">
        <f>AVERAGE('Raw Data'!M57:M61)</f>
        <v>0.6399999999999999</v>
      </c>
      <c r="G13" s="3">
        <f>AVERAGE('Raw Data'!O57:O61)</f>
        <v>1.6108</v>
      </c>
    </row>
    <row r="14" spans="1:7" x14ac:dyDescent="0.3">
      <c r="A14" t="s">
        <v>29</v>
      </c>
      <c r="B14" s="1">
        <f>AVERAGE('Raw Data'!J62:J66)</f>
        <v>0.36353454016156472</v>
      </c>
      <c r="C14" s="1">
        <f>AVERAGE('Raw Data'!K62:K66)</f>
        <v>1.9428232811928958E-2</v>
      </c>
      <c r="D14" s="1">
        <f>SUM(AVERAGE('Raw Data'!L62:L66))</f>
        <v>2.9199999999999997E-2</v>
      </c>
      <c r="E14" s="1">
        <f>AVERAGE('Raw Data'!I62:I66)</f>
        <v>0.15040000000000003</v>
      </c>
      <c r="F14" s="1">
        <f>AVERAGE('Raw Data'!M62:M66)</f>
        <v>0.57020000000000004</v>
      </c>
      <c r="G14" s="3">
        <f>AVERAGE('Raw Data'!O62:O66)</f>
        <v>1.4239999999999999</v>
      </c>
    </row>
    <row r="15" spans="1:7" x14ac:dyDescent="0.3">
      <c r="A15" t="s">
        <v>30</v>
      </c>
      <c r="B15" s="1">
        <f>AVERAGE('Raw Data'!J67:J71)</f>
        <v>7.489045448761153E-2</v>
      </c>
      <c r="C15" s="1">
        <f>AVERAGE('Raw Data'!K67:K71)</f>
        <v>4.1172977017387589E-3</v>
      </c>
      <c r="D15" s="1">
        <f>AVERAGE('Raw Data'!L67:L71)</f>
        <v>7.8600000000000007E-3</v>
      </c>
      <c r="E15" s="1">
        <f>AVERAGE('Raw Data'!I67:I71)</f>
        <v>0.1278</v>
      </c>
      <c r="F15" s="1">
        <f>AVERAGE('Raw Data'!M67:M71)</f>
        <v>0.64019999999999988</v>
      </c>
      <c r="G15" s="3">
        <f>AVERAGE('Raw Data'!O67:O71)</f>
        <v>1.3879999999999999</v>
      </c>
    </row>
    <row r="16" spans="1:7" x14ac:dyDescent="0.3">
      <c r="A16" t="s">
        <v>31</v>
      </c>
      <c r="B16" s="1">
        <f>AVERAGE('Raw Data'!J72:J76)</f>
        <v>8.1579849347513653E-2</v>
      </c>
      <c r="C16" s="1">
        <f>AVERAGE('Raw Data'!K72:K76)</f>
        <v>3.084347881588153E-3</v>
      </c>
      <c r="D16" s="1">
        <f>AVERAGE('Raw Data'!L72:L76)</f>
        <v>6.1799999999999997E-3</v>
      </c>
      <c r="E16" s="1">
        <f>AVERAGE('Raw Data'!I72:I76)</f>
        <v>0.11679999999999999</v>
      </c>
      <c r="F16" s="1">
        <f>AVERAGE('Raw Data'!M72:M76)</f>
        <v>0.56299999999999994</v>
      </c>
      <c r="G16" s="3">
        <f>AVERAGE('Raw Data'!O72:O76)</f>
        <v>1.46</v>
      </c>
    </row>
    <row r="17" spans="1:7" x14ac:dyDescent="0.3">
      <c r="A17" t="s">
        <v>32</v>
      </c>
      <c r="B17" s="1">
        <f>AVERAGE('Raw Data'!J77:J81)</f>
        <v>6.1692583726856355E-2</v>
      </c>
      <c r="C17" s="1">
        <f>AVERAGE('Raw Data'!K77:K81)</f>
        <v>2.9575107006812123E-3</v>
      </c>
      <c r="D17" s="1">
        <f>AVERAGE('Raw Data'!L77:L81)</f>
        <v>8.9799999999999984E-3</v>
      </c>
      <c r="E17" s="1">
        <f>AVERAGE('Raw Data'!I77:I81)</f>
        <v>0.1366</v>
      </c>
      <c r="F17" s="1">
        <f>AVERAGE('Raw Data'!M77:M81)</f>
        <v>0.75060000000000004</v>
      </c>
      <c r="G17" s="3">
        <f>AVERAGE('Raw Data'!O77:O81)</f>
        <v>1.4100000000000001</v>
      </c>
    </row>
    <row r="18" spans="1:7" x14ac:dyDescent="0.3">
      <c r="A18" t="s">
        <v>33</v>
      </c>
      <c r="B18" s="1">
        <f>AVERAGE('Raw Data'!J82:J86)</f>
        <v>6.451899283901294E-2</v>
      </c>
      <c r="C18" s="1">
        <f>AVERAGE('Raw Data'!K82:K86)</f>
        <v>3.378273549172861E-3</v>
      </c>
      <c r="D18" t="s">
        <v>20</v>
      </c>
      <c r="E18" s="1">
        <f>AVERAGE('Raw Data'!I82:I86)</f>
        <v>0.14600000000000002</v>
      </c>
      <c r="F18" s="1">
        <f>AVERAGE('Raw Data'!M82:M86)</f>
        <v>0.61319999999999997</v>
      </c>
      <c r="G18" s="3">
        <f>AVERAGE('Raw Data'!O82:O86)</f>
        <v>1.4705999999999999</v>
      </c>
    </row>
    <row r="19" spans="1:7" x14ac:dyDescent="0.3">
      <c r="A19" t="s">
        <v>34</v>
      </c>
      <c r="B19" s="1">
        <f>AVERAGE('Raw Data'!J87:J91)</f>
        <v>0.10828385532398924</v>
      </c>
      <c r="C19" s="1">
        <f>AVERAGE('Raw Data'!K87:K91)</f>
        <v>6.3614467531802237E-3</v>
      </c>
      <c r="D19" s="1">
        <f>AVERAGE('Raw Data'!L87:L91)</f>
        <v>2.3559999999999998E-2</v>
      </c>
      <c r="E19" s="1">
        <f>AVERAGE('Raw Data'!I87:I91)</f>
        <v>0.1263</v>
      </c>
      <c r="F19" s="1">
        <f>AVERAGE('Raw Data'!M87:M91)</f>
        <v>0.43819999999999998</v>
      </c>
      <c r="G19" s="3">
        <f>AVERAGE('Raw Data'!O87:O91)</f>
        <v>1.6079999999999999</v>
      </c>
    </row>
    <row r="20" spans="1:7" x14ac:dyDescent="0.3">
      <c r="A20" t="s">
        <v>35</v>
      </c>
      <c r="B20" s="1">
        <f>AVERAGE('Raw Data'!J92:J96)</f>
        <v>0.14443291026293936</v>
      </c>
      <c r="C20" s="1">
        <f>AVERAGE('Raw Data'!K92:K96)</f>
        <v>1.0530666895059E-2</v>
      </c>
      <c r="D20" s="1">
        <f>AVERAGE('Raw Data'!L92:L96)</f>
        <v>2.8339999999999997E-2</v>
      </c>
      <c r="E20" s="1">
        <f>AVERAGE('Raw Data'!I92:I96)</f>
        <v>0.12694</v>
      </c>
      <c r="F20" s="1">
        <f>AVERAGE('Raw Data'!M92:M96)</f>
        <v>0.4178</v>
      </c>
      <c r="G20" s="3">
        <f>AVERAGE('Raw Data'!O92:O96)</f>
        <v>1.5</v>
      </c>
    </row>
    <row r="21" spans="1:7" x14ac:dyDescent="0.3">
      <c r="A21" t="s">
        <v>64</v>
      </c>
      <c r="B21" s="1">
        <f>AVERAGE('Raw Data'!J97:J101)</f>
        <v>0.11985846303251986</v>
      </c>
      <c r="C21" s="1">
        <f>AVERAGE('Raw Data'!K97:K101)</f>
        <v>9.221059948723076E-3</v>
      </c>
      <c r="D21" s="1">
        <f>AVERAGE('Raw Data'!L97:L101)</f>
        <v>1.4879999999999999E-2</v>
      </c>
      <c r="E21" s="1">
        <f>AVERAGE('Raw Data'!I97:I101)</f>
        <v>0.15576000000000001</v>
      </c>
      <c r="F21" s="1">
        <f>AVERAGE('Raw Data'!M97:M101)</f>
        <v>0.43540000000000001</v>
      </c>
      <c r="G21" s="3">
        <f>AVERAGE('Raw Data'!O97:O101)</f>
        <v>1.5680000000000001</v>
      </c>
    </row>
    <row r="22" spans="1:7" x14ac:dyDescent="0.3">
      <c r="A22" t="s">
        <v>37</v>
      </c>
      <c r="B22" s="1">
        <f>AVERAGE('Raw Data'!J102:J106)</f>
        <v>0.10483434631674468</v>
      </c>
      <c r="C22" s="1">
        <f>AVERAGE('Raw Data'!K102:K106)</f>
        <v>6.4837998974081558E-3</v>
      </c>
      <c r="D22" t="s">
        <v>20</v>
      </c>
      <c r="E22" s="1">
        <f>AVERAGE('Raw Data'!I102:I106)</f>
        <v>0.13640000000000002</v>
      </c>
      <c r="F22" s="1">
        <f>AVERAGE('Raw Data'!M102:M106)</f>
        <v>0.47900000000000009</v>
      </c>
      <c r="G22" s="3">
        <f>AVERAGE('Raw Data'!O102:O106)</f>
        <v>1.752</v>
      </c>
    </row>
    <row r="23" spans="1:7" x14ac:dyDescent="0.3">
      <c r="A23" t="s">
        <v>38</v>
      </c>
      <c r="B23" s="1">
        <f>AVERAGE('Raw Data'!J107:J111)</f>
        <v>0.15747333722230789</v>
      </c>
      <c r="C23" s="1">
        <f>AVERAGE('Raw Data'!K107:K111)</f>
        <v>8.2480655755506789E-3</v>
      </c>
      <c r="D23" s="1">
        <f>AVERAGE('Raw Data'!L107:L111)</f>
        <v>5.1599999999999997E-3</v>
      </c>
      <c r="E23" s="1">
        <f>AVERAGE('Raw Data'!I107:I111)</f>
        <v>0.14440000000000003</v>
      </c>
      <c r="F23" s="1">
        <f>AVERAGE('Raw Data'!M107:M111)</f>
        <v>0.81319999999999992</v>
      </c>
      <c r="G23" s="3">
        <f>AVERAGE('Raw Data'!O107:O111)</f>
        <v>1.8091999999999999</v>
      </c>
    </row>
    <row r="24" spans="1:7" ht="28.8" x14ac:dyDescent="0.3">
      <c r="A24" s="15" t="s">
        <v>39</v>
      </c>
      <c r="B24" s="1">
        <f>AVERAGE('Raw Data'!J112:J115)</f>
        <v>0.13422480118616179</v>
      </c>
      <c r="C24" s="1">
        <f>AVERAGE('Raw Data'!K112:K116)</f>
        <v>7.9882314047758068E-3</v>
      </c>
      <c r="D24" s="1">
        <f>AVERAGE('Raw Data'!L112:L116)</f>
        <v>1.7419999999999998E-2</v>
      </c>
      <c r="E24" s="1">
        <f>AVERAGE('Raw Data'!I112:I116)</f>
        <v>0.12279999999999999</v>
      </c>
      <c r="F24" s="1">
        <f>AVERAGE('Raw Data'!M112:M116)</f>
        <v>0.45420000000000005</v>
      </c>
      <c r="G24" s="3">
        <f>AVERAGE('Raw Data'!O112:O116)</f>
        <v>1.3120000000000001</v>
      </c>
    </row>
    <row r="25" spans="1:7" ht="28.8" x14ac:dyDescent="0.3">
      <c r="A25" s="15" t="s">
        <v>40</v>
      </c>
      <c r="B25" s="1">
        <f>AVERAGE('Raw Data'!J117:J121)</f>
        <v>4.8286952995257669E-2</v>
      </c>
      <c r="C25" s="1">
        <f>AVERAGE('Raw Data'!K117:K121)</f>
        <v>2.213807988588049E-3</v>
      </c>
      <c r="D25" s="1">
        <f>AVERAGE('Raw Data'!L117:L121)</f>
        <v>4.3999999999999994E-3</v>
      </c>
      <c r="E25" s="1">
        <f>AVERAGE('Raw Data'!I117:I121)</f>
        <v>0.1232</v>
      </c>
      <c r="F25" s="1">
        <f>AVERAGE('Raw Data'!M117:M121)</f>
        <v>0.57799999999999996</v>
      </c>
      <c r="G25" s="3">
        <f>AVERAGE('Raw Data'!O117:O121)</f>
        <v>1.512</v>
      </c>
    </row>
    <row r="26" spans="1:7" ht="28.8" x14ac:dyDescent="0.3">
      <c r="A26" s="15" t="s">
        <v>43</v>
      </c>
      <c r="B26" s="1">
        <f>AVERAGE('Raw Data'!J122:J126)</f>
        <v>5.0207476142997823E-2</v>
      </c>
      <c r="C26" s="1">
        <f>AVERAGE('Raw Data'!K122:K126)</f>
        <v>2.6815818143476793E-3</v>
      </c>
      <c r="D26" s="1">
        <f>AVERAGE('Raw Data'!L122:L126)</f>
        <v>6.7199999999999994E-3</v>
      </c>
      <c r="E26" s="1">
        <f>AVERAGE('Raw Data'!I122:I126)</f>
        <v>0.13964000000000001</v>
      </c>
      <c r="F26" s="1">
        <f>AVERAGE('Raw Data'!M122:M126)</f>
        <v>0.55719999999999992</v>
      </c>
      <c r="G26" s="3">
        <f>AVERAGE('Raw Data'!O122:O126)</f>
        <v>1.3620000000000001</v>
      </c>
    </row>
    <row r="27" spans="1:7" ht="42.6" customHeight="1" x14ac:dyDescent="0.3">
      <c r="A27" s="15" t="s">
        <v>44</v>
      </c>
      <c r="B27" s="1">
        <f>AVERAGE('Raw Data'!J127:J131)</f>
        <v>9.7897957287127982E-2</v>
      </c>
      <c r="C27" s="1">
        <f>AVERAGE('Raw Data'!K127:K131)</f>
        <v>8.5306517044051559E-3</v>
      </c>
      <c r="D27" s="1">
        <f>AVERAGE('Raw Data'!L127:L131)</f>
        <v>1.5099999999999999E-2</v>
      </c>
      <c r="E27" s="1">
        <f>AVERAGE('Raw Data'!I127:I131)</f>
        <v>0.13747999999999999</v>
      </c>
      <c r="F27" s="1">
        <f>AVERAGE('Raw Data'!M127:M131)</f>
        <v>0.28154000000000001</v>
      </c>
      <c r="G27" s="3">
        <f>AVERAGE('Raw Data'!O127:O131)</f>
        <v>1.262</v>
      </c>
    </row>
    <row r="28" spans="1:7" ht="28.8" customHeight="1" x14ac:dyDescent="0.3">
      <c r="A28" s="15" t="s">
        <v>45</v>
      </c>
      <c r="B28" s="1">
        <f>AVERAGE('Raw Data'!J132:J135)</f>
        <v>0.10554066053587485</v>
      </c>
      <c r="C28" s="1">
        <f>AVERAGE('Raw Data'!K132:K136)</f>
        <v>9.0088645185561148E-3</v>
      </c>
      <c r="D28" s="1">
        <f>AVERAGE('Raw Data'!L132:L136)</f>
        <v>1.6024999999999998E-2</v>
      </c>
      <c r="E28" s="1">
        <f>AVERAGE('Raw Data'!I132:I136)</f>
        <v>0.13908000000000001</v>
      </c>
      <c r="F28" s="1">
        <f>AVERAGE('Raw Data'!M132:M136)</f>
        <v>0.28602000000000005</v>
      </c>
      <c r="G28" s="3">
        <f>AVERAGE('Raw Data'!O132:O136)</f>
        <v>1.264</v>
      </c>
    </row>
    <row r="29" spans="1:7" x14ac:dyDescent="0.3">
      <c r="A29" t="s">
        <v>52</v>
      </c>
      <c r="B29" s="1">
        <f>AVERAGE('Raw Data'!J137:J141)</f>
        <v>0.15089349505792693</v>
      </c>
      <c r="C29" s="1">
        <f>AVERAGE('Raw Data'!K137:K141)</f>
        <v>1.2299833604302061E-2</v>
      </c>
      <c r="D29" s="1">
        <f>AVERAGE('Raw Data'!L137:L141)</f>
        <v>1.444E-2</v>
      </c>
      <c r="E29" s="1">
        <f>AVERAGE('Raw Data'!I137:I141)</f>
        <v>0.1552</v>
      </c>
      <c r="F29" s="1">
        <f>AVERAGE('Raw Data'!M138:M142)</f>
        <v>0.42220000000000002</v>
      </c>
      <c r="G29" s="3">
        <f>AVERAGE('Raw Data'!O137:O141)</f>
        <v>1.4419999999999997</v>
      </c>
    </row>
    <row r="30" spans="1:7" ht="28.8" x14ac:dyDescent="0.3">
      <c r="A30" s="15" t="s">
        <v>47</v>
      </c>
      <c r="B30" s="1">
        <f>AVERAGE('Raw Data'!J142:J146)</f>
        <v>0.11292589460018181</v>
      </c>
      <c r="C30" s="1">
        <f>AVERAGE('Raw Data'!K142:K146)</f>
        <v>1.0185406865714144E-2</v>
      </c>
      <c r="D30" s="1">
        <f>AVERAGE('Raw Data'!L142:L146)</f>
        <v>1.6760000000000001E-2</v>
      </c>
      <c r="E30" s="1">
        <f>AVERAGE('Raw Data'!I142:I146)</f>
        <v>0.1416</v>
      </c>
      <c r="F30" s="3">
        <f>AVERAGE('Raw Data'!M142:M146)</f>
        <v>0.44600000000000001</v>
      </c>
      <c r="G30" s="3">
        <f>AVERAGE('Raw Data'!O142:O146)</f>
        <v>1.42</v>
      </c>
    </row>
    <row r="31" spans="1:7" x14ac:dyDescent="0.3">
      <c r="A31" t="s">
        <v>48</v>
      </c>
      <c r="B31" s="1">
        <f>AVERAGE('Raw Data'!J147:J151)</f>
        <v>0.10264506725795637</v>
      </c>
      <c r="C31" s="1">
        <f>SUM(AVERAGE('Raw Data'!K147:K151))</f>
        <v>9.4272942911887564E-3</v>
      </c>
      <c r="D31" s="1">
        <f>AVERAGE('Raw Data'!L147:L151)</f>
        <v>6.7600000000000007E-2</v>
      </c>
      <c r="E31" s="1">
        <f>AVERAGE('Raw Data'!I147:I151)</f>
        <v>0.15952000000000002</v>
      </c>
      <c r="F31" s="1">
        <f>AVERAGE('Raw Data'!M147:M151)</f>
        <v>0.47420000000000001</v>
      </c>
      <c r="G31" s="3">
        <f>AVERAGE('Raw Data'!O147:O151)</f>
        <v>1.3733333333333333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FB4D-3D50-494A-9661-F2723AB1853B}">
  <dimension ref="A1:A8"/>
  <sheetViews>
    <sheetView tabSelected="1" workbookViewId="0">
      <selection activeCell="A3" sqref="A3:A8"/>
    </sheetView>
  </sheetViews>
  <sheetFormatPr defaultRowHeight="14.4" x14ac:dyDescent="0.3"/>
  <sheetData>
    <row r="1" spans="1:1" ht="23.4" x14ac:dyDescent="0.45">
      <c r="A1" s="24" t="s">
        <v>49</v>
      </c>
    </row>
    <row r="3" spans="1:1" ht="18" x14ac:dyDescent="0.35">
      <c r="A3" s="25" t="s">
        <v>65</v>
      </c>
    </row>
    <row r="4" spans="1:1" ht="18" x14ac:dyDescent="0.35">
      <c r="A4" s="26" t="s">
        <v>59</v>
      </c>
    </row>
    <row r="5" spans="1:1" ht="18" x14ac:dyDescent="0.35">
      <c r="A5" s="7" t="s">
        <v>60</v>
      </c>
    </row>
    <row r="6" spans="1:1" ht="18" x14ac:dyDescent="0.35">
      <c r="A6" s="7" t="s">
        <v>61</v>
      </c>
    </row>
    <row r="7" spans="1:1" ht="18" x14ac:dyDescent="0.35">
      <c r="A7" s="7" t="s">
        <v>62</v>
      </c>
    </row>
    <row r="8" spans="1:1" ht="18" x14ac:dyDescent="0.35">
      <c r="A8" s="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Raw Data</vt:lpstr>
      <vt:lpstr>Ratio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2026-09-17T09:13:48Z</dcterms:created>
  <dcterms:modified xsi:type="dcterms:W3CDTF">2026-09-19T13:53:42Z</dcterms:modified>
</cp:coreProperties>
</file>